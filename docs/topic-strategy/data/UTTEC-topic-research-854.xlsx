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線A-議題樹344" sheetId="2" state="visible" r:id="rId2"/>
    <sheet name="線C-生活滲透510" sheetId="3" state="visible" r:id="rId3"/>
    <sheet name="統計" sheetId="4" state="visible" r:id="rId4"/>
  </sheets>
  <definedNames>
    <definedName name="_xlnm._FilterDatabase" localSheetId="1" hidden="1">'線A-議題樹344'!$A$1:$H$345</definedName>
    <definedName name="_xlnm._FilterDatabase" localSheetId="2" hidden="1">'線C-生活滲透510'!$A$1:$H$511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2"/>
    </font>
    <font>
      <name val="Arial"/>
      <sz val="10"/>
    </font>
    <font>
      <name val="Arial"/>
      <b val="1"/>
      <sz val="12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4A"/>
      </patternFill>
    </fill>
    <fill>
      <patternFill patternType="solid">
        <fgColor rgb="00F2F6F5"/>
      </patternFill>
    </fill>
    <fill>
      <patternFill patternType="solid">
        <fgColor rgb="00FFF3CD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0D7D4"/>
      </left>
      <right style="thin">
        <color rgb="00D0D7D4"/>
      </right>
      <top style="thin">
        <color rgb="00D0D7D4"/>
      </top>
      <bottom style="thin">
        <color rgb="00D0D7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UTTEC 有創科技｜議題研究總表</t>
        </is>
      </c>
    </row>
    <row r="2">
      <c r="A2" s="2" t="inlineStr">
        <is>
          <t>兩條研究線合併交付</t>
        </is>
      </c>
    </row>
    <row r="3">
      <c r="A3" s="3" t="inlineStr"/>
    </row>
    <row r="4">
      <c r="A4" s="3" t="inlineStr">
        <is>
          <t>產出日期：2026-09-19</t>
        </is>
      </c>
    </row>
    <row r="5">
      <c r="A5" s="3" t="inlineStr"/>
    </row>
    <row r="6">
      <c r="A6" s="4" t="inlineStr">
        <is>
          <t>線 A｜議題樹　　　　344 條　16 個群集</t>
        </is>
      </c>
    </row>
    <row r="7">
      <c r="A7" s="3" t="inlineStr">
        <is>
          <t xml:space="preserve">　從產業議題出發。讀者是已經有問題意識的人，作用是承接需求。</t>
        </is>
      </c>
    </row>
    <row r="8">
      <c r="A8" s="3" t="inlineStr">
        <is>
          <t xml:space="preserve">　欄位：編號｜群集｜主題｜對象｜意圖｜建議平台｜收口層級｜優先序</t>
        </is>
      </c>
    </row>
    <row r="9">
      <c r="A9" s="3" t="inlineStr"/>
    </row>
    <row r="10">
      <c r="A10" s="4" t="inlineStr">
        <is>
          <t>線 C｜生活滲透　　　510 條　30 個群集</t>
        </is>
      </c>
    </row>
    <row r="11">
      <c r="A11" s="3" t="inlineStr">
        <is>
          <t xml:space="preserve">　從生活出發。讀者是還不知道自己需要的人，作用是創造認知。</t>
        </is>
      </c>
    </row>
    <row r="12">
      <c r="A12" s="3" t="inlineStr">
        <is>
          <t xml:space="preserve">　欄位：編號｜生活群集｜議題標題｜切入形式｜國際技術錨點｜間接帶入點｜建議平台｜層級</t>
        </is>
      </c>
    </row>
    <row r="13">
      <c r="A13" s="3" t="inlineStr">
        <is>
          <t xml:space="preserve">　411 條（81%）帶有可查證的國際技術錨點。</t>
        </is>
      </c>
    </row>
    <row r="14">
      <c r="A14" s="3" t="inlineStr"/>
    </row>
    <row r="15">
      <c r="A15" s="5" t="inlineStr">
        <is>
          <t>合計 854 條議題</t>
        </is>
      </c>
    </row>
    <row r="16">
      <c r="A16" s="3" t="inlineStr"/>
    </row>
    <row r="17">
      <c r="A17" s="4" t="inlineStr">
        <is>
          <t>發布前五條硬限制</t>
        </is>
      </c>
    </row>
    <row r="18">
      <c r="A18" s="3" t="inlineStr">
        <is>
          <t>1. 禁用「即時追蹤」，統一用「回報最後一次被偵測到的位置與時間」。</t>
        </is>
      </c>
    </row>
    <row r="19">
      <c r="A19" s="3" t="inlineStr">
        <is>
          <t>2. 成熟度必須標示：現行服務／可延伸／需 PoC，不得混用。</t>
        </is>
      </c>
    </row>
    <row r="20">
      <c r="A20" s="3" t="inlineStr">
        <is>
          <t>3. 失智診斷屬個資法第 6 條特種個資，一律不收，改問「外出狀況」。</t>
        </is>
      </c>
    </row>
    <row r="21">
      <c r="A21" s="3" t="inlineStr">
        <is>
          <t>4. A16-01（第 4 年系統使用權）在政策確認前不得發布。</t>
        </is>
      </c>
    </row>
    <row r="22">
      <c r="A22" s="3" t="inlineStr">
        <is>
          <t>5. 補助金額與給付碼別須標註來源與查詢日期，並加註以主管機關公告為準。</t>
        </is>
      </c>
    </row>
    <row r="23">
      <c r="A23" s="3" t="inlineStr"/>
    </row>
    <row r="24">
      <c r="A24" s="4" t="inlineStr">
        <is>
          <t>已知限制</t>
        </is>
      </c>
    </row>
    <row r="25">
      <c r="A25" s="3" t="inlineStr">
        <is>
          <t>統計頁使用 COUNTIF／SUM 公式而非寫死數字，以便資料變動時自動更新。</t>
        </is>
      </c>
    </row>
    <row r="26">
      <c r="A26" s="3" t="inlineStr">
        <is>
          <t>產製環境的 LibreOffice 無法在時限內完成重算，公式快取值為空——</t>
        </is>
      </c>
    </row>
    <row r="27">
      <c r="A27" s="3" t="inlineStr">
        <is>
          <t>以 Excel 或 Google 試算表開啟時會自動計算。所有數字已另以 Python 獨立核對。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2" customWidth="1" min="3" max="3"/>
    <col width="14" customWidth="1" min="4" max="4"/>
    <col width="14" customWidth="1" min="5" max="5"/>
    <col width="24" customWidth="1" min="6" max="6"/>
    <col width="10" customWidth="1" min="7" max="7"/>
    <col width="9" customWidth="1" min="8" max="8"/>
  </cols>
  <sheetData>
    <row r="1" ht="30" customHeight="1">
      <c r="A1" s="6" t="inlineStr">
        <is>
          <t>編號</t>
        </is>
      </c>
      <c r="B1" s="6" t="inlineStr">
        <is>
          <t>群集</t>
        </is>
      </c>
      <c r="C1" s="6" t="inlineStr">
        <is>
          <t>主題</t>
        </is>
      </c>
      <c r="D1" s="6" t="inlineStr">
        <is>
          <t>對象</t>
        </is>
      </c>
      <c r="E1" s="6" t="inlineStr">
        <is>
          <t>意圖</t>
        </is>
      </c>
      <c r="F1" s="6" t="inlineStr">
        <is>
          <t>建議平台</t>
        </is>
      </c>
      <c r="G1" s="6" t="inlineStr">
        <is>
          <t>收口層級</t>
        </is>
      </c>
      <c r="H1" s="6" t="inlineStr">
        <is>
          <t>優先序</t>
        </is>
      </c>
    </row>
    <row r="2">
      <c r="A2" s="7" t="inlineStr">
        <is>
          <t>A1-01</t>
        </is>
      </c>
      <c r="B2" s="7" t="inlineStr">
        <is>
          <t>A1 走失預防與協尋實務</t>
        </is>
      </c>
      <c r="C2" s="8" t="inlineStr">
        <is>
          <t>長輩走失的第一個小時，該做的 7 件事（報案三不：不用等、不用跑、不用錢）</t>
        </is>
      </c>
      <c r="D2" s="7" t="inlineStr">
        <is>
          <t>家屬</t>
        </is>
      </c>
      <c r="E2" s="8" t="inlineStr">
        <is>
          <t>急救型搜尋</t>
        </is>
      </c>
      <c r="F2" s="8" t="inlineStr">
        <is>
          <t>部落格／Threads</t>
        </is>
      </c>
      <c r="G2" s="7" t="inlineStr">
        <is>
          <t>L0</t>
        </is>
      </c>
      <c r="H2" s="9" t="inlineStr">
        <is>
          <t>P1</t>
        </is>
      </c>
    </row>
    <row r="3">
      <c r="A3" s="10" t="inlineStr">
        <is>
          <t>A1-02</t>
        </is>
      </c>
      <c r="B3" s="10" t="inlineStr">
        <is>
          <t>A1 走失預防與協尋實務</t>
        </is>
      </c>
      <c r="C3" s="11" t="inlineStr">
        <is>
          <t>報案前先準備好這 6 樣東西，協尋速度差很多</t>
        </is>
      </c>
      <c r="D3" s="10" t="inlineStr">
        <is>
          <t>家屬</t>
        </is>
      </c>
      <c r="E3" s="11" t="inlineStr">
        <is>
          <t>實用清單</t>
        </is>
      </c>
      <c r="F3" s="11" t="inlineStr">
        <is>
          <t>FB 社團</t>
        </is>
      </c>
      <c r="G3" s="10" t="inlineStr">
        <is>
          <t>L0</t>
        </is>
      </c>
      <c r="H3" s="9" t="inlineStr">
        <is>
          <t>P1</t>
        </is>
      </c>
    </row>
    <row r="4">
      <c r="A4" s="7" t="inlineStr">
        <is>
          <t>A1-03</t>
        </is>
      </c>
      <c r="B4" s="7" t="inlineStr">
        <is>
          <t>A1 走失預防與協尋實務</t>
        </is>
      </c>
      <c r="C4" s="8" t="inlineStr">
        <is>
          <t>「愛的手鍊」怎麼申請？要錢嗎？誰可以申請？</t>
        </is>
      </c>
      <c r="D4" s="7" t="inlineStr">
        <is>
          <t>家屬／照顧者</t>
        </is>
      </c>
      <c r="E4" s="8" t="inlineStr">
        <is>
          <t>資訊型</t>
        </is>
      </c>
      <c r="F4" s="8" t="inlineStr">
        <is>
          <t>部落格／IG</t>
        </is>
      </c>
      <c r="G4" s="7" t="inlineStr">
        <is>
          <t>L0</t>
        </is>
      </c>
      <c r="H4" s="9" t="inlineStr">
        <is>
          <t>P1</t>
        </is>
      </c>
    </row>
    <row r="5">
      <c r="A5" s="10" t="inlineStr">
        <is>
          <t>A1-04</t>
        </is>
      </c>
      <c r="B5" s="10" t="inlineStr">
        <is>
          <t>A1 走失預防與協尋實務</t>
        </is>
      </c>
      <c r="C5" s="11" t="inlineStr">
        <is>
          <t>愛的手鍊 vs 定位器：不是二選一，而是兩層防護</t>
        </is>
      </c>
      <c r="D5" s="10" t="inlineStr">
        <is>
          <t>家屬</t>
        </is>
      </c>
      <c r="E5" s="11" t="inlineStr">
        <is>
          <t>比較型</t>
        </is>
      </c>
      <c r="F5" s="11" t="inlineStr">
        <is>
          <t>部落格</t>
        </is>
      </c>
      <c r="G5" s="10" t="inlineStr">
        <is>
          <t>L1</t>
        </is>
      </c>
      <c r="H5" s="10" t="inlineStr">
        <is>
          <t>P2</t>
        </is>
      </c>
    </row>
    <row r="6">
      <c r="A6" s="7" t="inlineStr">
        <is>
          <t>A1-05</t>
        </is>
      </c>
      <c r="B6" s="7" t="inlineStr">
        <is>
          <t>A1 走失預防與協尋實務</t>
        </is>
      </c>
      <c r="C6" s="8" t="inlineStr">
        <is>
          <t>指紋捺印要去哪裡辦？流程與注意事項</t>
        </is>
      </c>
      <c r="D6" s="7" t="inlineStr">
        <is>
          <t>家屬</t>
        </is>
      </c>
      <c r="E6" s="8" t="inlineStr">
        <is>
          <t>資訊型</t>
        </is>
      </c>
      <c r="F6" s="8" t="inlineStr">
        <is>
          <t>部落格</t>
        </is>
      </c>
      <c r="G6" s="7" t="inlineStr">
        <is>
          <t>L0</t>
        </is>
      </c>
      <c r="H6" s="7" t="inlineStr">
        <is>
          <t>P3</t>
        </is>
      </c>
    </row>
    <row r="7">
      <c r="A7" s="10" t="inlineStr">
        <is>
          <t>A1-06</t>
        </is>
      </c>
      <c r="B7" s="10" t="inlineStr">
        <is>
          <t>A1 走失預防與協尋實務</t>
        </is>
      </c>
      <c r="C7" s="11" t="inlineStr">
        <is>
          <t>衣物縫名條的正確寫法（為什麼不該寫全名和地址）</t>
        </is>
      </c>
      <c r="D7" s="10" t="inlineStr">
        <is>
          <t>照顧者</t>
        </is>
      </c>
      <c r="E7" s="11" t="inlineStr">
        <is>
          <t>冷知識</t>
        </is>
      </c>
      <c r="F7" s="11" t="inlineStr">
        <is>
          <t>Threads／IG</t>
        </is>
      </c>
      <c r="G7" s="10" t="inlineStr">
        <is>
          <t>L0</t>
        </is>
      </c>
      <c r="H7" s="10" t="inlineStr">
        <is>
          <t>P2</t>
        </is>
      </c>
    </row>
    <row r="8">
      <c r="A8" s="7" t="inlineStr">
        <is>
          <t>A1-07</t>
        </is>
      </c>
      <c r="B8" s="7" t="inlineStr">
        <is>
          <t>A1 走失預防與協尋實務</t>
        </is>
      </c>
      <c r="C8" s="8" t="inlineStr">
        <is>
          <t>失智長輩走失最常發生的 5 個時間點</t>
        </is>
      </c>
      <c r="D8" s="7" t="inlineStr">
        <is>
          <t>家屬</t>
        </is>
      </c>
      <c r="E8" s="8" t="inlineStr">
        <is>
          <t>洞察型</t>
        </is>
      </c>
      <c r="F8" s="8" t="inlineStr">
        <is>
          <t>Threads</t>
        </is>
      </c>
      <c r="G8" s="7" t="inlineStr">
        <is>
          <t>L0</t>
        </is>
      </c>
      <c r="H8" s="9" t="inlineStr">
        <is>
          <t>P1</t>
        </is>
      </c>
    </row>
    <row r="9">
      <c r="A9" s="10" t="inlineStr">
        <is>
          <t>A1-08</t>
        </is>
      </c>
      <c r="B9" s="10" t="inlineStr">
        <is>
          <t>A1 走失預防與協尋實務</t>
        </is>
      </c>
      <c r="C9" s="11" t="inlineStr">
        <is>
          <t>走失熱點地圖：超商、公園、廟口、車站、舊家</t>
        </is>
      </c>
      <c r="D9" s="10" t="inlineStr">
        <is>
          <t>家屬</t>
        </is>
      </c>
      <c r="E9" s="11" t="inlineStr">
        <is>
          <t>洞察型</t>
        </is>
      </c>
      <c r="F9" s="11" t="inlineStr">
        <is>
          <t>部落格</t>
        </is>
      </c>
      <c r="G9" s="10" t="inlineStr">
        <is>
          <t>L0</t>
        </is>
      </c>
      <c r="H9" s="10" t="inlineStr">
        <is>
          <t>P3</t>
        </is>
      </c>
    </row>
    <row r="10">
      <c r="A10" s="7" t="inlineStr">
        <is>
          <t>A1-09</t>
        </is>
      </c>
      <c r="B10" s="7" t="inlineStr">
        <is>
          <t>A1 走失預防與協尋實務</t>
        </is>
      </c>
      <c r="C10" s="8" t="inlineStr">
        <is>
          <t>從家裡到菜市場那 300 公尺，才是風險最高的一段</t>
        </is>
      </c>
      <c r="D10" s="7" t="inlineStr">
        <is>
          <t>家屬</t>
        </is>
      </c>
      <c r="E10" s="8" t="inlineStr">
        <is>
          <t>故事型</t>
        </is>
      </c>
      <c r="F10" s="8" t="inlineStr">
        <is>
          <t>Threads／FB</t>
        </is>
      </c>
      <c r="G10" s="7" t="inlineStr">
        <is>
          <t>L1</t>
        </is>
      </c>
      <c r="H10" s="7" t="inlineStr">
        <is>
          <t>P2</t>
        </is>
      </c>
    </row>
    <row r="11">
      <c r="A11" s="10" t="inlineStr">
        <is>
          <t>A1-10</t>
        </is>
      </c>
      <c r="B11" s="10" t="inlineStr">
        <is>
          <t>A1 走失預防與協尋實務</t>
        </is>
      </c>
      <c r="C11" s="11" t="inlineStr">
        <is>
          <t>鄰里守望：跟這 7 家店打過招呼，找人快一倍</t>
        </is>
      </c>
      <c r="D11" s="10" t="inlineStr">
        <is>
          <t>照顧者</t>
        </is>
      </c>
      <c r="E11" s="11" t="inlineStr">
        <is>
          <t>實用</t>
        </is>
      </c>
      <c r="F11" s="11" t="inlineStr">
        <is>
          <t>FB 社團</t>
        </is>
      </c>
      <c r="G11" s="10" t="inlineStr">
        <is>
          <t>L0</t>
        </is>
      </c>
      <c r="H11" s="10" t="inlineStr">
        <is>
          <t>P3</t>
        </is>
      </c>
    </row>
    <row r="12">
      <c r="A12" s="7" t="inlineStr">
        <is>
          <t>A1-11</t>
        </is>
      </c>
      <c r="B12" s="7" t="inlineStr">
        <is>
          <t>A1 走失預防與協尋實務</t>
        </is>
      </c>
      <c r="C12" s="8" t="inlineStr">
        <is>
          <t>里長、社區保全、管理員能幫你什麼（多數人沒用到）</t>
        </is>
      </c>
      <c r="D12" s="7" t="inlineStr">
        <is>
          <t>照顧者</t>
        </is>
      </c>
      <c r="E12" s="8" t="inlineStr">
        <is>
          <t>資訊</t>
        </is>
      </c>
      <c r="F12" s="8" t="inlineStr">
        <is>
          <t>部落格</t>
        </is>
      </c>
      <c r="G12" s="7" t="inlineStr">
        <is>
          <t>L0</t>
        </is>
      </c>
      <c r="H12" s="7" t="inlineStr">
        <is>
          <t>P3</t>
        </is>
      </c>
    </row>
    <row r="13">
      <c r="A13" s="10" t="inlineStr">
        <is>
          <t>A1-12</t>
        </is>
      </c>
      <c r="B13" s="10" t="inlineStr">
        <is>
          <t>A1 走失預防與協尋實務</t>
        </is>
      </c>
      <c r="C13" s="11" t="inlineStr">
        <is>
          <t>協尋貼文怎麼寫才有效？照片要挑哪一張</t>
        </is>
      </c>
      <c r="D13" s="10" t="inlineStr">
        <is>
          <t>家屬</t>
        </is>
      </c>
      <c r="E13" s="11" t="inlineStr">
        <is>
          <t>教學</t>
        </is>
      </c>
      <c r="F13" s="11" t="inlineStr">
        <is>
          <t>FB／Threads</t>
        </is>
      </c>
      <c r="G13" s="10" t="inlineStr">
        <is>
          <t>L0</t>
        </is>
      </c>
      <c r="H13" s="10" t="inlineStr">
        <is>
          <t>P2</t>
        </is>
      </c>
    </row>
    <row r="14">
      <c r="A14" s="7" t="inlineStr">
        <is>
          <t>A1-13</t>
        </is>
      </c>
      <c r="B14" s="7" t="inlineStr">
        <is>
          <t>A1 走失預防與協尋實務</t>
        </is>
      </c>
      <c r="C14" s="8" t="inlineStr">
        <is>
          <t>監視器調閱流程與「黃金 7 天」保存期限</t>
        </is>
      </c>
      <c r="D14" s="7" t="inlineStr">
        <is>
          <t>家屬</t>
        </is>
      </c>
      <c r="E14" s="8" t="inlineStr">
        <is>
          <t>資訊</t>
        </is>
      </c>
      <c r="F14" s="8" t="inlineStr">
        <is>
          <t>部落格</t>
        </is>
      </c>
      <c r="G14" s="7" t="inlineStr">
        <is>
          <t>L0</t>
        </is>
      </c>
      <c r="H14" s="7" t="inlineStr">
        <is>
          <t>P2</t>
        </is>
      </c>
    </row>
    <row r="15">
      <c r="A15" s="10" t="inlineStr">
        <is>
          <t>A1-14</t>
        </is>
      </c>
      <c r="B15" s="10" t="inlineStr">
        <is>
          <t>A1 走失預防與協尋實務</t>
        </is>
      </c>
      <c r="C15" s="11" t="inlineStr">
        <is>
          <t>長輩重複走失怎麼辦：用一週紀錄找出他的行為模式</t>
        </is>
      </c>
      <c r="D15" s="10" t="inlineStr">
        <is>
          <t>家屬</t>
        </is>
      </c>
      <c r="E15" s="11" t="inlineStr">
        <is>
          <t>方法</t>
        </is>
      </c>
      <c r="F15" s="11" t="inlineStr">
        <is>
          <t>部落格</t>
        </is>
      </c>
      <c r="G15" s="10" t="inlineStr">
        <is>
          <t>L1</t>
        </is>
      </c>
      <c r="H15" s="10" t="inlineStr">
        <is>
          <t>P2</t>
        </is>
      </c>
    </row>
    <row r="16">
      <c r="A16" s="7" t="inlineStr">
        <is>
          <t>A1-15</t>
        </is>
      </c>
      <c r="B16" s="7" t="inlineStr">
        <is>
          <t>A1 走失預防與協尋實務</t>
        </is>
      </c>
      <c r="C16" s="8" t="inlineStr">
        <is>
          <t>「遊走」不是故意離家：失智者出門的 6 種心理動機</t>
        </is>
      </c>
      <c r="D16" s="7" t="inlineStr">
        <is>
          <t>家屬／公共</t>
        </is>
      </c>
      <c r="E16" s="8" t="inlineStr">
        <is>
          <t>科普</t>
        </is>
      </c>
      <c r="F16" s="8" t="inlineStr">
        <is>
          <t>Threads</t>
        </is>
      </c>
      <c r="G16" s="7" t="inlineStr">
        <is>
          <t>L0</t>
        </is>
      </c>
      <c r="H16" s="9" t="inlineStr">
        <is>
          <t>P1</t>
        </is>
      </c>
    </row>
    <row r="17">
      <c r="A17" s="10" t="inlineStr">
        <is>
          <t>A1-16</t>
        </is>
      </c>
      <c r="B17" s="10" t="inlineStr">
        <is>
          <t>A1 走失預防與協尋實務</t>
        </is>
      </c>
      <c r="C17" s="11" t="inlineStr">
        <is>
          <t>夜間遊走與日落症候群：夜裡的防走失準備</t>
        </is>
      </c>
      <c r="D17" s="10" t="inlineStr">
        <is>
          <t>照顧者</t>
        </is>
      </c>
      <c r="E17" s="11" t="inlineStr">
        <is>
          <t>科普</t>
        </is>
      </c>
      <c r="F17" s="11" t="inlineStr">
        <is>
          <t>部落格</t>
        </is>
      </c>
      <c r="G17" s="10" t="inlineStr">
        <is>
          <t>L1</t>
        </is>
      </c>
      <c r="H17" s="10" t="inlineStr">
        <is>
          <t>P3</t>
        </is>
      </c>
    </row>
    <row r="18">
      <c r="A18" s="7" t="inlineStr">
        <is>
          <t>A1-17</t>
        </is>
      </c>
      <c r="B18" s="7" t="inlineStr">
        <is>
          <t>A1 走失預防與協尋實務</t>
        </is>
      </c>
      <c r="C18" s="8" t="inlineStr">
        <is>
          <t>颱風、寒流、連假前的走失風險升高，該先做什麼</t>
        </is>
      </c>
      <c r="D18" s="7" t="inlineStr">
        <is>
          <t>家屬</t>
        </is>
      </c>
      <c r="E18" s="8" t="inlineStr">
        <is>
          <t>時事</t>
        </is>
      </c>
      <c r="F18" s="8" t="inlineStr">
        <is>
          <t>Threads／FB</t>
        </is>
      </c>
      <c r="G18" s="7" t="inlineStr">
        <is>
          <t>L1</t>
        </is>
      </c>
      <c r="H18" s="7" t="inlineStr">
        <is>
          <t>P2</t>
        </is>
      </c>
    </row>
    <row r="19">
      <c r="A19" s="10" t="inlineStr">
        <is>
          <t>A1-18</t>
        </is>
      </c>
      <c r="B19" s="10" t="inlineStr">
        <is>
          <t>A1 走失預防與協尋實務</t>
        </is>
      </c>
      <c r="C19" s="11" t="inlineStr">
        <is>
          <t>帶長輩出國、返鄉、住院時的走失準備清單</t>
        </is>
      </c>
      <c r="D19" s="10" t="inlineStr">
        <is>
          <t>家屬</t>
        </is>
      </c>
      <c r="E19" s="11" t="inlineStr">
        <is>
          <t>場景</t>
        </is>
      </c>
      <c r="F19" s="11" t="inlineStr">
        <is>
          <t>部落格</t>
        </is>
      </c>
      <c r="G19" s="10" t="inlineStr">
        <is>
          <t>L1</t>
        </is>
      </c>
      <c r="H19" s="10" t="inlineStr">
        <is>
          <t>P3</t>
        </is>
      </c>
    </row>
    <row r="20">
      <c r="A20" s="7" t="inlineStr">
        <is>
          <t>A1-19</t>
        </is>
      </c>
      <c r="B20" s="7" t="inlineStr">
        <is>
          <t>A1 走失預防與協尋實務</t>
        </is>
      </c>
      <c r="C20" s="8" t="inlineStr">
        <is>
          <t>找回來之後：家屬的自責與心理重建</t>
        </is>
      </c>
      <c r="D20" s="7" t="inlineStr">
        <is>
          <t>家屬</t>
        </is>
      </c>
      <c r="E20" s="8" t="inlineStr">
        <is>
          <t>情緒</t>
        </is>
      </c>
      <c r="F20" s="8" t="inlineStr">
        <is>
          <t>Threads／Dcard</t>
        </is>
      </c>
      <c r="G20" s="7" t="inlineStr">
        <is>
          <t>L0</t>
        </is>
      </c>
      <c r="H20" s="7" t="inlineStr">
        <is>
          <t>P3</t>
        </is>
      </c>
    </row>
    <row r="21">
      <c r="A21" s="10" t="inlineStr">
        <is>
          <t>A1-20</t>
        </is>
      </c>
      <c r="B21" s="10" t="inlineStr">
        <is>
          <t>A1 走失預防與協尋實務</t>
        </is>
      </c>
      <c r="C21" s="11" t="inlineStr">
        <is>
          <t>做一張「長輩安全資訊卡」貼在冰箱上（可下載範本）</t>
        </is>
      </c>
      <c r="D21" s="10" t="inlineStr">
        <is>
          <t>照顧者</t>
        </is>
      </c>
      <c r="E21" s="11" t="inlineStr">
        <is>
          <t>工具</t>
        </is>
      </c>
      <c r="F21" s="11" t="inlineStr">
        <is>
          <t>IG／部落格</t>
        </is>
      </c>
      <c r="G21" s="10" t="inlineStr">
        <is>
          <t>L1</t>
        </is>
      </c>
      <c r="H21" s="9" t="inlineStr">
        <is>
          <t>P1</t>
        </is>
      </c>
    </row>
    <row r="22">
      <c r="A22" s="7" t="inlineStr">
        <is>
          <t>A2-01</t>
        </is>
      </c>
      <c r="B22" s="7" t="inlineStr">
        <is>
          <t>A2 補助政策與申請流程</t>
        </is>
      </c>
      <c r="C22" s="8" t="inlineStr">
        <is>
          <t>長照 3.0 上路，跟一般家庭最有關的 5 件事</t>
        </is>
      </c>
      <c r="D22" s="7" t="inlineStr">
        <is>
          <t>家屬</t>
        </is>
      </c>
      <c r="E22" s="8" t="inlineStr">
        <is>
          <t>政策解讀</t>
        </is>
      </c>
      <c r="F22" s="8" t="inlineStr">
        <is>
          <t>部落格</t>
        </is>
      </c>
      <c r="G22" s="7" t="inlineStr">
        <is>
          <t>L0</t>
        </is>
      </c>
      <c r="H22" s="9" t="inlineStr">
        <is>
          <t>P1</t>
        </is>
      </c>
    </row>
    <row r="23">
      <c r="A23" s="10" t="inlineStr">
        <is>
          <t>A2-02</t>
        </is>
      </c>
      <c r="B23" s="10" t="inlineStr">
        <is>
          <t>A2 補助政策與申請流程</t>
        </is>
      </c>
      <c r="C23" s="11" t="inlineStr">
        <is>
          <t>年輕型失智者納入長照給付：50 歲以下也能申請了</t>
        </is>
      </c>
      <c r="D23" s="10" t="inlineStr">
        <is>
          <t>家屬／公共</t>
        </is>
      </c>
      <c r="E23" s="11" t="inlineStr">
        <is>
          <t>政策</t>
        </is>
      </c>
      <c r="F23" s="11" t="inlineStr">
        <is>
          <t>部落格／新聞投稿</t>
        </is>
      </c>
      <c r="G23" s="10" t="inlineStr">
        <is>
          <t>L0</t>
        </is>
      </c>
      <c r="H23" s="10" t="inlineStr">
        <is>
          <t>P2</t>
        </is>
      </c>
    </row>
    <row r="24">
      <c r="A24" s="7" t="inlineStr">
        <is>
          <t>A2-03</t>
        </is>
      </c>
      <c r="B24" s="7" t="inlineStr">
        <is>
          <t>A2 補助政策與申請流程</t>
        </is>
      </c>
      <c r="C24" s="8" t="inlineStr">
        <is>
          <t>打 1966 之後會發生什麼？逐步流程與時程</t>
        </is>
      </c>
      <c r="D24" s="7" t="inlineStr">
        <is>
          <t>家屬</t>
        </is>
      </c>
      <c r="E24" s="8" t="inlineStr">
        <is>
          <t>資訊</t>
        </is>
      </c>
      <c r="F24" s="8" t="inlineStr">
        <is>
          <t>部落格／IG</t>
        </is>
      </c>
      <c r="G24" s="7" t="inlineStr">
        <is>
          <t>L0</t>
        </is>
      </c>
      <c r="H24" s="9" t="inlineStr">
        <is>
          <t>P1</t>
        </is>
      </c>
    </row>
    <row r="25">
      <c r="A25" s="10" t="inlineStr">
        <is>
          <t>A2-04</t>
        </is>
      </c>
      <c r="B25" s="10" t="inlineStr">
        <is>
          <t>A2 補助政策與申請流程</t>
        </is>
      </c>
      <c r="C25" s="11" t="inlineStr">
        <is>
          <t>照管專員到府評估，怎麼講才不會被低估需求</t>
        </is>
      </c>
      <c r="D25" s="10" t="inlineStr">
        <is>
          <t>家屬</t>
        </is>
      </c>
      <c r="E25" s="11" t="inlineStr">
        <is>
          <t>攻略</t>
        </is>
      </c>
      <c r="F25" s="11" t="inlineStr">
        <is>
          <t>Dcard／FB</t>
        </is>
      </c>
      <c r="G25" s="10" t="inlineStr">
        <is>
          <t>L0</t>
        </is>
      </c>
      <c r="H25" s="10" t="inlineStr">
        <is>
          <t>P2</t>
        </is>
      </c>
    </row>
    <row r="26">
      <c r="A26" s="7" t="inlineStr">
        <is>
          <t>A2-05</t>
        </is>
      </c>
      <c r="B26" s="7" t="inlineStr">
        <is>
          <t>A2 補助政策與申請流程</t>
        </is>
      </c>
      <c r="C26" s="8" t="inlineStr">
        <is>
          <t>長照需要等級 2–8 級到底是什麼意思</t>
        </is>
      </c>
      <c r="D26" s="7" t="inlineStr">
        <is>
          <t>家屬</t>
        </is>
      </c>
      <c r="E26" s="8" t="inlineStr">
        <is>
          <t>科普</t>
        </is>
      </c>
      <c r="F26" s="8" t="inlineStr">
        <is>
          <t>部落格</t>
        </is>
      </c>
      <c r="G26" s="7" t="inlineStr">
        <is>
          <t>L0</t>
        </is>
      </c>
      <c r="H26" s="9" t="inlineStr">
        <is>
          <t>P1</t>
        </is>
      </c>
    </row>
    <row r="27">
      <c r="A27" s="10" t="inlineStr">
        <is>
          <t>A2-06</t>
        </is>
      </c>
      <c r="B27" s="10" t="inlineStr">
        <is>
          <t>A2 補助政策與申請流程</t>
        </is>
      </c>
      <c r="C27" s="11" t="inlineStr">
        <is>
          <t>輔具補助 vs 長照給付：兩條完全不同的路</t>
        </is>
      </c>
      <c r="D27" s="10" t="inlineStr">
        <is>
          <t>家屬</t>
        </is>
      </c>
      <c r="E27" s="11" t="inlineStr">
        <is>
          <t>觀念澄清</t>
        </is>
      </c>
      <c r="F27" s="11" t="inlineStr">
        <is>
          <t>部落格</t>
        </is>
      </c>
      <c r="G27" s="10" t="inlineStr">
        <is>
          <t>L1</t>
        </is>
      </c>
      <c r="H27" s="9" t="inlineStr">
        <is>
          <t>P1</t>
        </is>
      </c>
    </row>
    <row r="28">
      <c r="A28" s="7" t="inlineStr">
        <is>
          <t>A2-07</t>
        </is>
      </c>
      <c r="B28" s="7" t="inlineStr">
        <is>
          <t>A2 補助政策與申請流程</t>
        </is>
      </c>
      <c r="C28" s="8" t="inlineStr">
        <is>
          <t>身心障礙者輔具補助的「定位器」項目怎麼申請</t>
        </is>
      </c>
      <c r="D28" s="7" t="inlineStr">
        <is>
          <t>家屬</t>
        </is>
      </c>
      <c r="E28" s="8" t="inlineStr">
        <is>
          <t>攻略</t>
        </is>
      </c>
      <c r="F28" s="8" t="inlineStr">
        <is>
          <t>部落格</t>
        </is>
      </c>
      <c r="G28" s="7" t="inlineStr">
        <is>
          <t>L1</t>
        </is>
      </c>
      <c r="H28" s="7" t="inlineStr">
        <is>
          <t>P2</t>
        </is>
      </c>
    </row>
    <row r="29">
      <c r="A29" s="10" t="inlineStr">
        <is>
          <t>A2-08</t>
        </is>
      </c>
      <c r="B29" s="10" t="inlineStr">
        <is>
          <t>A2 補助政策與申請流程</t>
        </is>
      </c>
      <c r="C29" s="11" t="inlineStr">
        <is>
          <t>失智診斷證明書怎麼拿？有效期多久？</t>
        </is>
      </c>
      <c r="D29" s="10" t="inlineStr">
        <is>
          <t>家屬</t>
        </is>
      </c>
      <c r="E29" s="11" t="inlineStr">
        <is>
          <t>資訊</t>
        </is>
      </c>
      <c r="F29" s="11" t="inlineStr">
        <is>
          <t>部落格</t>
        </is>
      </c>
      <c r="G29" s="10" t="inlineStr">
        <is>
          <t>L0</t>
        </is>
      </c>
      <c r="H29" s="10" t="inlineStr">
        <is>
          <t>P3</t>
        </is>
      </c>
    </row>
    <row r="30">
      <c r="A30" s="7" t="inlineStr">
        <is>
          <t>A2-09</t>
        </is>
      </c>
      <c r="B30" s="7" t="inlineStr">
        <is>
          <t>A2 補助政策與申請流程</t>
        </is>
      </c>
      <c r="C30" s="8" t="inlineStr">
        <is>
          <t>各縣市加碼補助差在哪：同一台裝置價差可以多少</t>
        </is>
      </c>
      <c r="D30" s="7" t="inlineStr">
        <is>
          <t>家屬</t>
        </is>
      </c>
      <c r="E30" s="8" t="inlineStr">
        <is>
          <t>比較</t>
        </is>
      </c>
      <c r="F30" s="8" t="inlineStr">
        <is>
          <t>部落格</t>
        </is>
      </c>
      <c r="G30" s="7" t="inlineStr">
        <is>
          <t>L1</t>
        </is>
      </c>
      <c r="H30" s="7" t="inlineStr">
        <is>
          <t>P2</t>
        </is>
      </c>
    </row>
    <row r="31">
      <c r="A31" s="10" t="inlineStr">
        <is>
          <t>A2-10</t>
        </is>
      </c>
      <c r="B31" s="10" t="inlineStr">
        <is>
          <t>A2 補助政策與申請流程</t>
        </is>
      </c>
      <c r="C31" s="11" t="inlineStr">
        <is>
          <t>「特約輔具單位」是什麼？為什麼一定要經過它</t>
        </is>
      </c>
      <c r="D31" s="10" t="inlineStr">
        <is>
          <t>家屬</t>
        </is>
      </c>
      <c r="E31" s="11" t="inlineStr">
        <is>
          <t>觀念</t>
        </is>
      </c>
      <c r="F31" s="11" t="inlineStr">
        <is>
          <t>部落格</t>
        </is>
      </c>
      <c r="G31" s="10" t="inlineStr">
        <is>
          <t>L1</t>
        </is>
      </c>
      <c r="H31" s="9" t="inlineStr">
        <is>
          <t>P1</t>
        </is>
      </c>
    </row>
    <row r="32">
      <c r="A32" s="7" t="inlineStr">
        <is>
          <t>A2-11</t>
        </is>
      </c>
      <c r="B32" s="7" t="inlineStr">
        <is>
          <t>A2 補助政策與申請流程</t>
        </is>
      </c>
      <c r="C32" s="8" t="inlineStr">
        <is>
          <t>「限購置、非租賃」是什麼意思？影響你什麼</t>
        </is>
      </c>
      <c r="D32" s="7" t="inlineStr">
        <is>
          <t>家屬</t>
        </is>
      </c>
      <c r="E32" s="8" t="inlineStr">
        <is>
          <t>觀念</t>
        </is>
      </c>
      <c r="F32" s="8" t="inlineStr">
        <is>
          <t>部落格</t>
        </is>
      </c>
      <c r="G32" s="7" t="inlineStr">
        <is>
          <t>L1</t>
        </is>
      </c>
      <c r="H32" s="7" t="inlineStr">
        <is>
          <t>P2</t>
        </is>
      </c>
    </row>
    <row r="33">
      <c r="A33" s="10" t="inlineStr">
        <is>
          <t>A2-12</t>
        </is>
      </c>
      <c r="B33" s="10" t="inlineStr">
        <is>
          <t>A2 補助政策與申請流程</t>
        </is>
      </c>
      <c r="C33" s="11" t="inlineStr">
        <is>
          <t>長照 3.0 新增的「居家智慧科技輔具租賃」怎麼用</t>
        </is>
      </c>
      <c r="D33" s="10" t="inlineStr">
        <is>
          <t>家屬／機構</t>
        </is>
      </c>
      <c r="E33" s="11" t="inlineStr">
        <is>
          <t>政策</t>
        </is>
      </c>
      <c r="F33" s="11" t="inlineStr">
        <is>
          <t>部落格</t>
        </is>
      </c>
      <c r="G33" s="10" t="inlineStr">
        <is>
          <t>L1</t>
        </is>
      </c>
      <c r="H33" s="9" t="inlineStr">
        <is>
          <t>P1</t>
        </is>
      </c>
    </row>
    <row r="34">
      <c r="A34" s="7" t="inlineStr">
        <is>
          <t>A2-13</t>
        </is>
      </c>
      <c r="B34" s="7" t="inlineStr">
        <is>
          <t>A2 補助政策與申請流程</t>
        </is>
      </c>
      <c r="C34" s="8" t="inlineStr">
        <is>
          <t>衛福部長照輔具產品資料庫怎麼查（含安全看視類）</t>
        </is>
      </c>
      <c r="D34" s="7" t="inlineStr">
        <is>
          <t>家屬</t>
        </is>
      </c>
      <c r="E34" s="8" t="inlineStr">
        <is>
          <t>教學</t>
        </is>
      </c>
      <c r="F34" s="8" t="inlineStr">
        <is>
          <t>部落格／影片</t>
        </is>
      </c>
      <c r="G34" s="7" t="inlineStr">
        <is>
          <t>L2</t>
        </is>
      </c>
      <c r="H34" s="9" t="inlineStr">
        <is>
          <t>P1</t>
        </is>
      </c>
    </row>
    <row r="35">
      <c r="A35" s="10" t="inlineStr">
        <is>
          <t>A2-14</t>
        </is>
      </c>
      <c r="B35" s="10" t="inlineStr">
        <is>
          <t>A2 補助政策與申請流程</t>
        </is>
      </c>
      <c r="C35" s="11" t="inlineStr">
        <is>
          <t>給付碼別怎麼看懂：EA/EI/EC 到底差在哪</t>
        </is>
      </c>
      <c r="D35" s="10" t="inlineStr">
        <is>
          <t>家屬</t>
        </is>
      </c>
      <c r="E35" s="11" t="inlineStr">
        <is>
          <t>科普</t>
        </is>
      </c>
      <c r="F35" s="11" t="inlineStr">
        <is>
          <t>部落格</t>
        </is>
      </c>
      <c r="G35" s="10" t="inlineStr">
        <is>
          <t>L1</t>
        </is>
      </c>
      <c r="H35" s="10" t="inlineStr">
        <is>
          <t>P2</t>
        </is>
      </c>
    </row>
    <row r="36">
      <c r="A36" s="7" t="inlineStr">
        <is>
          <t>A2-15</t>
        </is>
      </c>
      <c r="B36" s="7" t="inlineStr">
        <is>
          <t>A2 補助政策與申請流程</t>
        </is>
      </c>
      <c r="C36" s="8" t="inlineStr">
        <is>
          <t>補助申請被退件的 6 個常見原因</t>
        </is>
      </c>
      <c r="D36" s="7" t="inlineStr">
        <is>
          <t>家屬</t>
        </is>
      </c>
      <c r="E36" s="8" t="inlineStr">
        <is>
          <t>避雷</t>
        </is>
      </c>
      <c r="F36" s="8" t="inlineStr">
        <is>
          <t>FB／Dcard</t>
        </is>
      </c>
      <c r="G36" s="7" t="inlineStr">
        <is>
          <t>L0</t>
        </is>
      </c>
      <c r="H36" s="7" t="inlineStr">
        <is>
          <t>P2</t>
        </is>
      </c>
    </row>
    <row r="37">
      <c r="A37" s="10" t="inlineStr">
        <is>
          <t>A2-16</t>
        </is>
      </c>
      <c r="B37" s="10" t="inlineStr">
        <is>
          <t>A2 補助政策與申請流程</t>
        </is>
      </c>
      <c r="C37" s="11" t="inlineStr">
        <is>
          <t>從打電話到拿到輔具要多久？真實時程表</t>
        </is>
      </c>
      <c r="D37" s="10" t="inlineStr">
        <is>
          <t>家屬</t>
        </is>
      </c>
      <c r="E37" s="11" t="inlineStr">
        <is>
          <t>期待管理</t>
        </is>
      </c>
      <c r="F37" s="11" t="inlineStr">
        <is>
          <t>部落格</t>
        </is>
      </c>
      <c r="G37" s="10" t="inlineStr">
        <is>
          <t>L1</t>
        </is>
      </c>
      <c r="H37" s="10" t="inlineStr">
        <is>
          <t>P2</t>
        </is>
      </c>
    </row>
    <row r="38">
      <c r="A38" s="7" t="inlineStr">
        <is>
          <t>A2-17</t>
        </is>
      </c>
      <c r="B38" s="7" t="inlineStr">
        <is>
          <t>A2 補助政策與申請流程</t>
        </is>
      </c>
      <c r="C38" s="8" t="inlineStr">
        <is>
          <t>自費 vs 補助的實際差額，用一張表算給你看</t>
        </is>
      </c>
      <c r="D38" s="7" t="inlineStr">
        <is>
          <t>家屬</t>
        </is>
      </c>
      <c r="E38" s="8" t="inlineStr">
        <is>
          <t>試算</t>
        </is>
      </c>
      <c r="F38" s="8" t="inlineStr">
        <is>
          <t>部落格</t>
        </is>
      </c>
      <c r="G38" s="7" t="inlineStr">
        <is>
          <t>L2</t>
        </is>
      </c>
      <c r="H38" s="9" t="inlineStr">
        <is>
          <t>P1</t>
        </is>
      </c>
    </row>
    <row r="39">
      <c r="A39" s="10" t="inlineStr">
        <is>
          <t>A2-18</t>
        </is>
      </c>
      <c r="B39" s="10" t="inlineStr">
        <is>
          <t>A2 補助政策與申請流程</t>
        </is>
      </c>
      <c r="C39" s="11" t="inlineStr">
        <is>
          <t>喘息服務怎麼跟科技輔具一起搭配用</t>
        </is>
      </c>
      <c r="D39" s="10" t="inlineStr">
        <is>
          <t>照顧者</t>
        </is>
      </c>
      <c r="E39" s="11" t="inlineStr">
        <is>
          <t>組合</t>
        </is>
      </c>
      <c r="F39" s="11" t="inlineStr">
        <is>
          <t>部落格</t>
        </is>
      </c>
      <c r="G39" s="10" t="inlineStr">
        <is>
          <t>L1</t>
        </is>
      </c>
      <c r="H39" s="10" t="inlineStr">
        <is>
          <t>P3</t>
        </is>
      </c>
    </row>
    <row r="40">
      <c r="A40" s="7" t="inlineStr">
        <is>
          <t>A2-19</t>
        </is>
      </c>
      <c r="B40" s="7" t="inlineStr">
        <is>
          <t>A2 補助政策與申請流程</t>
        </is>
      </c>
      <c r="C40" s="8" t="inlineStr">
        <is>
          <t>失智據點、共照中心、日照中心差在哪</t>
        </is>
      </c>
      <c r="D40" s="7" t="inlineStr">
        <is>
          <t>家屬</t>
        </is>
      </c>
      <c r="E40" s="8" t="inlineStr">
        <is>
          <t>科普</t>
        </is>
      </c>
      <c r="F40" s="8" t="inlineStr">
        <is>
          <t>部落格</t>
        </is>
      </c>
      <c r="G40" s="7" t="inlineStr">
        <is>
          <t>L0</t>
        </is>
      </c>
      <c r="H40" s="7" t="inlineStr">
        <is>
          <t>P2</t>
        </is>
      </c>
    </row>
    <row r="41">
      <c r="A41" s="10" t="inlineStr">
        <is>
          <t>A2-20</t>
        </is>
      </c>
      <c r="B41" s="10" t="inlineStr">
        <is>
          <t>A2 補助政策與申請流程</t>
        </is>
      </c>
      <c r="C41" s="11" t="inlineStr">
        <is>
          <t>《失智症基本法》如果通過，對家屬的實際意義</t>
        </is>
      </c>
      <c r="D41" s="10" t="inlineStr">
        <is>
          <t>公共</t>
        </is>
      </c>
      <c r="E41" s="11" t="inlineStr">
        <is>
          <t>議題</t>
        </is>
      </c>
      <c r="F41" s="11" t="inlineStr">
        <is>
          <t>Threads／投書</t>
        </is>
      </c>
      <c r="G41" s="10" t="inlineStr">
        <is>
          <t>L0</t>
        </is>
      </c>
      <c r="H41" s="10" t="inlineStr">
        <is>
          <t>P3</t>
        </is>
      </c>
    </row>
    <row r="42">
      <c r="A42" s="7" t="inlineStr">
        <is>
          <t>A3-01</t>
        </is>
      </c>
      <c r="B42" s="7" t="inlineStr">
        <is>
          <t>A3 照顧者日常與家庭溝通</t>
        </is>
      </c>
      <c r="C42" s="8" t="inlineStr">
        <is>
          <t>照顧者的 24 小時：那些沒人看見的時間</t>
        </is>
      </c>
      <c r="D42" s="7" t="inlineStr">
        <is>
          <t>家屬／照顧者</t>
        </is>
      </c>
      <c r="E42" s="8" t="inlineStr">
        <is>
          <t>共鳴</t>
        </is>
      </c>
      <c r="F42" s="8" t="inlineStr">
        <is>
          <t>Threads／Dcard</t>
        </is>
      </c>
      <c r="G42" s="7" t="inlineStr">
        <is>
          <t>L0</t>
        </is>
      </c>
      <c r="H42" s="7" t="inlineStr">
        <is>
          <t>P2</t>
        </is>
      </c>
    </row>
    <row r="43">
      <c r="A43" s="10" t="inlineStr">
        <is>
          <t>A3-02</t>
        </is>
      </c>
      <c r="B43" s="10" t="inlineStr">
        <is>
          <t>A3 照顧者日常與家庭溝通</t>
        </is>
      </c>
      <c r="C43" s="11" t="inlineStr">
        <is>
          <t>「我只是去洗個澡」——十分鐘的空白怎麼補</t>
        </is>
      </c>
      <c r="D43" s="10" t="inlineStr">
        <is>
          <t>家屬</t>
        </is>
      </c>
      <c r="E43" s="11" t="inlineStr">
        <is>
          <t>故事</t>
        </is>
      </c>
      <c r="F43" s="11" t="inlineStr">
        <is>
          <t>Threads</t>
        </is>
      </c>
      <c r="G43" s="10" t="inlineStr">
        <is>
          <t>L1</t>
        </is>
      </c>
      <c r="H43" s="9" t="inlineStr">
        <is>
          <t>P1</t>
        </is>
      </c>
    </row>
    <row r="44">
      <c r="A44" s="7" t="inlineStr">
        <is>
          <t>A3-03</t>
        </is>
      </c>
      <c r="B44" s="7" t="inlineStr">
        <is>
          <t>A3 照顧者日常與家庭溝通</t>
        </is>
      </c>
      <c r="C44" s="8" t="inlineStr">
        <is>
          <t>家庭照顧的「交接本」怎麼寫</t>
        </is>
      </c>
      <c r="D44" s="7" t="inlineStr">
        <is>
          <t>照顧者</t>
        </is>
      </c>
      <c r="E44" s="8" t="inlineStr">
        <is>
          <t>工具</t>
        </is>
      </c>
      <c r="F44" s="8" t="inlineStr">
        <is>
          <t>部落格</t>
        </is>
      </c>
      <c r="G44" s="7" t="inlineStr">
        <is>
          <t>L1</t>
        </is>
      </c>
      <c r="H44" s="7" t="inlineStr">
        <is>
          <t>P3</t>
        </is>
      </c>
    </row>
    <row r="45">
      <c r="A45" s="10" t="inlineStr">
        <is>
          <t>A3-04</t>
        </is>
      </c>
      <c r="B45" s="10" t="inlineStr">
        <is>
          <t>A3 照顧者日常與家庭溝通</t>
        </is>
      </c>
      <c r="C45" s="11" t="inlineStr">
        <is>
          <t>兄弟姊妹怎麼分工才不會吵架（含分工表範本）</t>
        </is>
      </c>
      <c r="D45" s="10" t="inlineStr">
        <is>
          <t>家屬</t>
        </is>
      </c>
      <c r="E45" s="11" t="inlineStr">
        <is>
          <t>工具</t>
        </is>
      </c>
      <c r="F45" s="11" t="inlineStr">
        <is>
          <t>Dcard／FB</t>
        </is>
      </c>
      <c r="G45" s="10" t="inlineStr">
        <is>
          <t>L0</t>
        </is>
      </c>
      <c r="H45" s="10" t="inlineStr">
        <is>
          <t>P2</t>
        </is>
      </c>
    </row>
    <row r="46">
      <c r="A46" s="7" t="inlineStr">
        <is>
          <t>A3-05</t>
        </is>
      </c>
      <c r="B46" s="7" t="inlineStr">
        <is>
          <t>A3 照顧者日常與家庭溝通</t>
        </is>
      </c>
      <c r="C46" s="8" t="inlineStr">
        <is>
          <t>外籍看護與科技工具的磨合期</t>
        </is>
      </c>
      <c r="D46" s="7" t="inlineStr">
        <is>
          <t>家屬</t>
        </is>
      </c>
      <c r="E46" s="8" t="inlineStr">
        <is>
          <t>現實</t>
        </is>
      </c>
      <c r="F46" s="8" t="inlineStr">
        <is>
          <t>FB 社團</t>
        </is>
      </c>
      <c r="G46" s="7" t="inlineStr">
        <is>
          <t>L1</t>
        </is>
      </c>
      <c r="H46" s="7" t="inlineStr">
        <is>
          <t>P3</t>
        </is>
      </c>
    </row>
    <row r="47">
      <c r="A47" s="10" t="inlineStr">
        <is>
          <t>A3-06</t>
        </is>
      </c>
      <c r="B47" s="10" t="inlineStr">
        <is>
          <t>A3 照顧者日常與家庭溝通</t>
        </is>
      </c>
      <c r="C47" s="11" t="inlineStr">
        <is>
          <t>長輩拒絕配戴裝置，這 5 句話可以試試</t>
        </is>
      </c>
      <c r="D47" s="10" t="inlineStr">
        <is>
          <t>家屬</t>
        </is>
      </c>
      <c r="E47" s="11" t="inlineStr">
        <is>
          <t>話術</t>
        </is>
      </c>
      <c r="F47" s="11" t="inlineStr">
        <is>
          <t>Threads／IG</t>
        </is>
      </c>
      <c r="G47" s="10" t="inlineStr">
        <is>
          <t>L1</t>
        </is>
      </c>
      <c r="H47" s="9" t="inlineStr">
        <is>
          <t>P1</t>
        </is>
      </c>
    </row>
    <row r="48">
      <c r="A48" s="7" t="inlineStr">
        <is>
          <t>A3-07</t>
        </is>
      </c>
      <c r="B48" s="7" t="inlineStr">
        <is>
          <t>A3 照顧者日常與家庭溝通</t>
        </is>
      </c>
      <c r="C48" s="8" t="inlineStr">
        <is>
          <t>被長輩說「你在監視我」的時候，我是怎麼回的</t>
        </is>
      </c>
      <c r="D48" s="7" t="inlineStr">
        <is>
          <t>家屬</t>
        </is>
      </c>
      <c r="E48" s="8" t="inlineStr">
        <is>
          <t>故事</t>
        </is>
      </c>
      <c r="F48" s="8" t="inlineStr">
        <is>
          <t>Dcard</t>
        </is>
      </c>
      <c r="G48" s="7" t="inlineStr">
        <is>
          <t>L1</t>
        </is>
      </c>
      <c r="H48" s="7" t="inlineStr">
        <is>
          <t>P2</t>
        </is>
      </c>
    </row>
    <row r="49">
      <c r="A49" s="10" t="inlineStr">
        <is>
          <t>A3-08</t>
        </is>
      </c>
      <c r="B49" s="10" t="inlineStr">
        <is>
          <t>A3 照顧者日常與家庭溝通</t>
        </is>
      </c>
      <c r="C49" s="11" t="inlineStr">
        <is>
          <t>尊嚴與安全的拉鋸：要不要限制他出門</t>
        </is>
      </c>
      <c r="D49" s="10" t="inlineStr">
        <is>
          <t>公共</t>
        </is>
      </c>
      <c r="E49" s="11" t="inlineStr">
        <is>
          <t>議題</t>
        </is>
      </c>
      <c r="F49" s="11" t="inlineStr">
        <is>
          <t>Threads</t>
        </is>
      </c>
      <c r="G49" s="10" t="inlineStr">
        <is>
          <t>L0</t>
        </is>
      </c>
      <c r="H49" s="10" t="inlineStr">
        <is>
          <t>P2</t>
        </is>
      </c>
    </row>
    <row r="50">
      <c r="A50" s="7" t="inlineStr">
        <is>
          <t>A3-09</t>
        </is>
      </c>
      <c r="B50" s="7" t="inlineStr">
        <is>
          <t>A3 照顧者日常與家庭溝通</t>
        </is>
      </c>
      <c r="C50" s="8" t="inlineStr">
        <is>
          <t>照顧者的睡眠剝奪有多嚴重</t>
        </is>
      </c>
      <c r="D50" s="7" t="inlineStr">
        <is>
          <t>家屬</t>
        </is>
      </c>
      <c r="E50" s="8" t="inlineStr">
        <is>
          <t>科普</t>
        </is>
      </c>
      <c r="F50" s="8" t="inlineStr">
        <is>
          <t>部落格</t>
        </is>
      </c>
      <c r="G50" s="7" t="inlineStr">
        <is>
          <t>L0</t>
        </is>
      </c>
      <c r="H50" s="7" t="inlineStr">
        <is>
          <t>P3</t>
        </is>
      </c>
    </row>
    <row r="51">
      <c r="A51" s="10" t="inlineStr">
        <is>
          <t>A3-10</t>
        </is>
      </c>
      <c r="B51" s="10" t="inlineStr">
        <is>
          <t>A3 照顧者日常與家庭溝通</t>
        </is>
      </c>
      <c r="C51" s="11" t="inlineStr">
        <is>
          <t>照顧者的罪惡感從哪來，又該怎麼放下</t>
        </is>
      </c>
      <c r="D51" s="10" t="inlineStr">
        <is>
          <t>家屬</t>
        </is>
      </c>
      <c r="E51" s="11" t="inlineStr">
        <is>
          <t>情緒</t>
        </is>
      </c>
      <c r="F51" s="11" t="inlineStr">
        <is>
          <t>Dcard</t>
        </is>
      </c>
      <c r="G51" s="10" t="inlineStr">
        <is>
          <t>L0</t>
        </is>
      </c>
      <c r="H51" s="10" t="inlineStr">
        <is>
          <t>P3</t>
        </is>
      </c>
    </row>
    <row r="52">
      <c r="A52" s="7" t="inlineStr">
        <is>
          <t>A3-11</t>
        </is>
      </c>
      <c r="B52" s="7" t="inlineStr">
        <is>
          <t>A3 照顧者日常與家庭溝通</t>
        </is>
      </c>
      <c r="C52" s="8" t="inlineStr">
        <is>
          <t>第一次開家庭會議：議程與該問的 8 個問題</t>
        </is>
      </c>
      <c r="D52" s="7" t="inlineStr">
        <is>
          <t>家屬</t>
        </is>
      </c>
      <c r="E52" s="8" t="inlineStr">
        <is>
          <t>工具</t>
        </is>
      </c>
      <c r="F52" s="8" t="inlineStr">
        <is>
          <t>部落格</t>
        </is>
      </c>
      <c r="G52" s="7" t="inlineStr">
        <is>
          <t>L0</t>
        </is>
      </c>
      <c r="H52" s="7" t="inlineStr">
        <is>
          <t>P3</t>
        </is>
      </c>
    </row>
    <row r="53">
      <c r="A53" s="10" t="inlineStr">
        <is>
          <t>A3-12</t>
        </is>
      </c>
      <c r="B53" s="10" t="inlineStr">
        <is>
          <t>A3 照顧者日常與家庭溝通</t>
        </is>
      </c>
      <c r="C53" s="11" t="inlineStr">
        <is>
          <t>照顧的財務規劃：一年要準備多少</t>
        </is>
      </c>
      <c r="D53" s="10" t="inlineStr">
        <is>
          <t>家屬</t>
        </is>
      </c>
      <c r="E53" s="11" t="inlineStr">
        <is>
          <t>試算</t>
        </is>
      </c>
      <c r="F53" s="11" t="inlineStr">
        <is>
          <t>部落格</t>
        </is>
      </c>
      <c r="G53" s="10" t="inlineStr">
        <is>
          <t>L1</t>
        </is>
      </c>
      <c r="H53" s="10" t="inlineStr">
        <is>
          <t>P3</t>
        </is>
      </c>
    </row>
    <row r="54">
      <c r="A54" s="7" t="inlineStr">
        <is>
          <t>A3-13</t>
        </is>
      </c>
      <c r="B54" s="7" t="inlineStr">
        <is>
          <t>A3 照顧者日常與家庭溝通</t>
        </is>
      </c>
      <c r="C54" s="8" t="inlineStr">
        <is>
          <t>請假、留職停薪、友善照顧職場，能用的制度有哪些</t>
        </is>
      </c>
      <c r="D54" s="7" t="inlineStr">
        <is>
          <t>家屬</t>
        </is>
      </c>
      <c r="E54" s="8" t="inlineStr">
        <is>
          <t>資訊</t>
        </is>
      </c>
      <c r="F54" s="8" t="inlineStr">
        <is>
          <t>部落格</t>
        </is>
      </c>
      <c r="G54" s="7" t="inlineStr">
        <is>
          <t>L0</t>
        </is>
      </c>
      <c r="H54" s="7" t="inlineStr">
        <is>
          <t>P3</t>
        </is>
      </c>
    </row>
    <row r="55">
      <c r="A55" s="10" t="inlineStr">
        <is>
          <t>A3-14</t>
        </is>
      </c>
      <c r="B55" s="10" t="inlineStr">
        <is>
          <t>A3 照顧者日常與家庭溝通</t>
        </is>
      </c>
      <c r="C55" s="11" t="inlineStr">
        <is>
          <t>互助喘息：照顧者輪流照顧的實際做法</t>
        </is>
      </c>
      <c r="D55" s="10" t="inlineStr">
        <is>
          <t>照顧者</t>
        </is>
      </c>
      <c r="E55" s="11" t="inlineStr">
        <is>
          <t>政策應用</t>
        </is>
      </c>
      <c r="F55" s="11" t="inlineStr">
        <is>
          <t>部落格</t>
        </is>
      </c>
      <c r="G55" s="10" t="inlineStr">
        <is>
          <t>L0</t>
        </is>
      </c>
      <c r="H55" s="10" t="inlineStr">
        <is>
          <t>P3</t>
        </is>
      </c>
    </row>
    <row r="56">
      <c r="A56" s="7" t="inlineStr">
        <is>
          <t>A3-15</t>
        </is>
      </c>
      <c r="B56" s="7" t="inlineStr">
        <is>
          <t>A3 照顧者日常與家庭溝通</t>
        </is>
      </c>
      <c r="C56" s="8" t="inlineStr">
        <is>
          <t>每次看到長照悲歌新聞，我們真正該討論的是什麼</t>
        </is>
      </c>
      <c r="D56" s="7" t="inlineStr">
        <is>
          <t>公共</t>
        </is>
      </c>
      <c r="E56" s="8" t="inlineStr">
        <is>
          <t>議題</t>
        </is>
      </c>
      <c r="F56" s="8" t="inlineStr">
        <is>
          <t>Threads／投書</t>
        </is>
      </c>
      <c r="G56" s="7" t="inlineStr">
        <is>
          <t>L0</t>
        </is>
      </c>
      <c r="H56" s="7" t="inlineStr">
        <is>
          <t>P2</t>
        </is>
      </c>
    </row>
    <row r="57">
      <c r="A57" s="10" t="inlineStr">
        <is>
          <t>A3-16</t>
        </is>
      </c>
      <c r="B57" s="10" t="inlineStr">
        <is>
          <t>A3 照顧者日常與家庭溝通</t>
        </is>
      </c>
      <c r="C57" s="11" t="inlineStr">
        <is>
          <t>第一次把媽媽送去日照的那一天</t>
        </is>
      </c>
      <c r="D57" s="10" t="inlineStr">
        <is>
          <t>家屬</t>
        </is>
      </c>
      <c r="E57" s="11" t="inlineStr">
        <is>
          <t>故事</t>
        </is>
      </c>
      <c r="F57" s="11" t="inlineStr">
        <is>
          <t>Dcard／Threads</t>
        </is>
      </c>
      <c r="G57" s="10" t="inlineStr">
        <is>
          <t>L0</t>
        </is>
      </c>
      <c r="H57" s="10" t="inlineStr">
        <is>
          <t>P2</t>
        </is>
      </c>
    </row>
    <row r="58">
      <c r="A58" s="7" t="inlineStr">
        <is>
          <t>A3-17</t>
        </is>
      </c>
      <c r="B58" s="7" t="inlineStr">
        <is>
          <t>A3 照顧者日常與家庭溝通</t>
        </is>
      </c>
      <c r="C58" s="8" t="inlineStr">
        <is>
          <t>從「看著」到「守著」：照顧觀念的轉換</t>
        </is>
      </c>
      <c r="D58" s="7" t="inlineStr">
        <is>
          <t>家屬</t>
        </is>
      </c>
      <c r="E58" s="8" t="inlineStr">
        <is>
          <t>觀念</t>
        </is>
      </c>
      <c r="F58" s="8" t="inlineStr">
        <is>
          <t>部落格</t>
        </is>
      </c>
      <c r="G58" s="7" t="inlineStr">
        <is>
          <t>L1</t>
        </is>
      </c>
      <c r="H58" s="7" t="inlineStr">
        <is>
          <t>P3</t>
        </is>
      </c>
    </row>
    <row r="59">
      <c r="A59" s="10" t="inlineStr">
        <is>
          <t>A3-18</t>
        </is>
      </c>
      <c r="B59" s="10" t="inlineStr">
        <is>
          <t>A3 照顧者日常與家庭溝通</t>
        </is>
      </c>
      <c r="C59" s="11" t="inlineStr">
        <is>
          <t>照顧不是一個人的事：科技能補的，其實只有一塊</t>
        </is>
      </c>
      <c r="D59" s="10" t="inlineStr">
        <is>
          <t>家屬</t>
        </is>
      </c>
      <c r="E59" s="11" t="inlineStr">
        <is>
          <t>觀念</t>
        </is>
      </c>
      <c r="F59" s="11" t="inlineStr">
        <is>
          <t>Threads</t>
        </is>
      </c>
      <c r="G59" s="10" t="inlineStr">
        <is>
          <t>L1</t>
        </is>
      </c>
      <c r="H59" s="10" t="inlineStr">
        <is>
          <t>P2</t>
        </is>
      </c>
    </row>
    <row r="60">
      <c r="A60" s="7" t="inlineStr">
        <is>
          <t>A3-19</t>
        </is>
      </c>
      <c r="B60" s="7" t="inlineStr">
        <is>
          <t>A3 照顧者日常與家庭溝通</t>
        </is>
      </c>
      <c r="C60" s="8" t="inlineStr">
        <is>
          <t>照顧者壓力自我檢測（10 題）</t>
        </is>
      </c>
      <c r="D60" s="7" t="inlineStr">
        <is>
          <t>家屬</t>
        </is>
      </c>
      <c r="E60" s="8" t="inlineStr">
        <is>
          <t>互動</t>
        </is>
      </c>
      <c r="F60" s="8" t="inlineStr">
        <is>
          <t>IG／部落格</t>
        </is>
      </c>
      <c r="G60" s="7" t="inlineStr">
        <is>
          <t>L0</t>
        </is>
      </c>
      <c r="H60" s="7" t="inlineStr">
        <is>
          <t>P3</t>
        </is>
      </c>
    </row>
    <row r="61">
      <c r="A61" s="10" t="inlineStr">
        <is>
          <t>A3-20</t>
        </is>
      </c>
      <c r="B61" s="10" t="inlineStr">
        <is>
          <t>A3 照顧者日常與家庭溝通</t>
        </is>
      </c>
      <c r="C61" s="11" t="inlineStr">
        <is>
          <t>給新手照顧者的 30 天上手表</t>
        </is>
      </c>
      <c r="D61" s="10" t="inlineStr">
        <is>
          <t>家屬</t>
        </is>
      </c>
      <c r="E61" s="11" t="inlineStr">
        <is>
          <t>工具</t>
        </is>
      </c>
      <c r="F61" s="11" t="inlineStr">
        <is>
          <t>部落格</t>
        </is>
      </c>
      <c r="G61" s="10" t="inlineStr">
        <is>
          <t>L1</t>
        </is>
      </c>
      <c r="H61" s="10" t="inlineStr">
        <is>
          <t>P2</t>
        </is>
      </c>
    </row>
    <row r="62">
      <c r="A62" s="7" t="inlineStr">
        <is>
          <t>A4-01</t>
        </is>
      </c>
      <c r="B62" s="7" t="inlineStr">
        <is>
          <t>A4 定位輔具選購與比較</t>
        </is>
      </c>
      <c r="C62" s="8" t="inlineStr">
        <is>
          <t>長輩定位裝置四大類：手錶、吊牌、鞋墊、手機 App</t>
        </is>
      </c>
      <c r="D62" s="7" t="inlineStr">
        <is>
          <t>家屬／3C</t>
        </is>
      </c>
      <c r="E62" s="8" t="inlineStr">
        <is>
          <t>品類教育</t>
        </is>
      </c>
      <c r="F62" s="8" t="inlineStr">
        <is>
          <t>部落格／Mobile01</t>
        </is>
      </c>
      <c r="G62" s="7" t="inlineStr">
        <is>
          <t>L1</t>
        </is>
      </c>
      <c r="H62" s="9" t="inlineStr">
        <is>
          <t>P1</t>
        </is>
      </c>
    </row>
    <row r="63">
      <c r="A63" s="10" t="inlineStr">
        <is>
          <t>A4-02</t>
        </is>
      </c>
      <c r="B63" s="10" t="inlineStr">
        <is>
          <t>A4 定位輔具選購與比較</t>
        </is>
      </c>
      <c r="C63" s="11" t="inlineStr">
        <is>
          <t>GPS、藍牙、Wi-Fi、基地台定位，到底差在哪</t>
        </is>
      </c>
      <c r="D63" s="10" t="inlineStr">
        <is>
          <t>3C</t>
        </is>
      </c>
      <c r="E63" s="11" t="inlineStr">
        <is>
          <t>科普</t>
        </is>
      </c>
      <c r="F63" s="11" t="inlineStr">
        <is>
          <t>Mobile01</t>
        </is>
      </c>
      <c r="G63" s="10" t="inlineStr">
        <is>
          <t>L1</t>
        </is>
      </c>
      <c r="H63" s="10" t="inlineStr">
        <is>
          <t>P2</t>
        </is>
      </c>
    </row>
    <row r="64">
      <c r="A64" s="7" t="inlineStr">
        <is>
          <t>A4-03</t>
        </is>
      </c>
      <c r="B64" s="7" t="inlineStr">
        <is>
          <t>A4 定位輔具選購與比較</t>
        </is>
      </c>
      <c r="C64" s="8" t="inlineStr">
        <is>
          <t>「即時追蹤」與「最後被偵測到的位置」的差別</t>
        </is>
      </c>
      <c r="D64" s="7" t="inlineStr">
        <is>
          <t>家屬／3C</t>
        </is>
      </c>
      <c r="E64" s="8" t="inlineStr">
        <is>
          <t>誠實科普</t>
        </is>
      </c>
      <c r="F64" s="8" t="inlineStr">
        <is>
          <t>部落格／Dcard</t>
        </is>
      </c>
      <c r="G64" s="7" t="inlineStr">
        <is>
          <t>L2</t>
        </is>
      </c>
      <c r="H64" s="9" t="inlineStr">
        <is>
          <t>P1</t>
        </is>
      </c>
    </row>
    <row r="65">
      <c r="A65" s="10" t="inlineStr">
        <is>
          <t>A4-04</t>
        </is>
      </c>
      <c r="B65" s="10" t="inlineStr">
        <is>
          <t>A4 定位輔具選購與比較</t>
        </is>
      </c>
      <c r="C65" s="11" t="inlineStr">
        <is>
          <t>續航實戰：每天充 vs 一年不用充，差的是什麼</t>
        </is>
      </c>
      <c r="D65" s="10" t="inlineStr">
        <is>
          <t>家屬</t>
        </is>
      </c>
      <c r="E65" s="11" t="inlineStr">
        <is>
          <t>比較</t>
        </is>
      </c>
      <c r="F65" s="11" t="inlineStr">
        <is>
          <t>Mobile01</t>
        </is>
      </c>
      <c r="G65" s="10" t="inlineStr">
        <is>
          <t>L2</t>
        </is>
      </c>
      <c r="H65" s="9" t="inlineStr">
        <is>
          <t>P1</t>
        </is>
      </c>
    </row>
    <row r="66">
      <c r="A66" s="7" t="inlineStr">
        <is>
          <t>A4-05</t>
        </is>
      </c>
      <c r="B66" s="7" t="inlineStr">
        <is>
          <t>A4 定位輔具選購與比較</t>
        </is>
      </c>
      <c r="C66" s="8" t="inlineStr">
        <is>
          <t>3 年總花費試算：月租費會吃掉你多少錢</t>
        </is>
      </c>
      <c r="D66" s="7" t="inlineStr">
        <is>
          <t>家屬</t>
        </is>
      </c>
      <c r="E66" s="8" t="inlineStr">
        <is>
          <t>試算</t>
        </is>
      </c>
      <c r="F66" s="8" t="inlineStr">
        <is>
          <t>部落格</t>
        </is>
      </c>
      <c r="G66" s="7" t="inlineStr">
        <is>
          <t>L2</t>
        </is>
      </c>
      <c r="H66" s="9" t="inlineStr">
        <is>
          <t>P1</t>
        </is>
      </c>
    </row>
    <row r="67">
      <c r="A67" s="10" t="inlineStr">
        <is>
          <t>A4-06</t>
        </is>
      </c>
      <c r="B67" s="10" t="inlineStr">
        <is>
          <t>A4 定位輔具選購與比較</t>
        </is>
      </c>
      <c r="C67" s="11" t="inlineStr">
        <is>
          <t>配戴接受度排序：長輩最不排斥的其實是這個</t>
        </is>
      </c>
      <c r="D67" s="10" t="inlineStr">
        <is>
          <t>家屬</t>
        </is>
      </c>
      <c r="E67" s="11" t="inlineStr">
        <is>
          <t>洞察</t>
        </is>
      </c>
      <c r="F67" s="11" t="inlineStr">
        <is>
          <t>Dcard</t>
        </is>
      </c>
      <c r="G67" s="10" t="inlineStr">
        <is>
          <t>L2</t>
        </is>
      </c>
      <c r="H67" s="9" t="inlineStr">
        <is>
          <t>P1</t>
        </is>
      </c>
    </row>
    <row r="68">
      <c r="A68" s="7" t="inlineStr">
        <is>
          <t>A4-07</t>
        </is>
      </c>
      <c r="B68" s="7" t="inlineStr">
        <is>
          <t>A4 定位輔具選購與比較</t>
        </is>
      </c>
      <c r="C68" s="8" t="inlineStr">
        <is>
          <t>為什麼所有定位裝置「進到室內就會飄」</t>
        </is>
      </c>
      <c r="D68" s="7" t="inlineStr">
        <is>
          <t>3C</t>
        </is>
      </c>
      <c r="E68" s="8" t="inlineStr">
        <is>
          <t>科普</t>
        </is>
      </c>
      <c r="F68" s="8" t="inlineStr">
        <is>
          <t>Mobile01</t>
        </is>
      </c>
      <c r="G68" s="7" t="inlineStr">
        <is>
          <t>L1</t>
        </is>
      </c>
      <c r="H68" s="7" t="inlineStr">
        <is>
          <t>P2</t>
        </is>
      </c>
    </row>
    <row r="69">
      <c r="A69" s="10" t="inlineStr">
        <is>
          <t>A4-08</t>
        </is>
      </c>
      <c r="B69" s="10" t="inlineStr">
        <is>
          <t>A4 定位輔具選購與比較</t>
        </is>
      </c>
      <c r="C69" s="11" t="inlineStr">
        <is>
          <t>電子圍籬怎麼設才不會一天響二十次</t>
        </is>
      </c>
      <c r="D69" s="10" t="inlineStr">
        <is>
          <t>家屬</t>
        </is>
      </c>
      <c r="E69" s="11" t="inlineStr">
        <is>
          <t>教學</t>
        </is>
      </c>
      <c r="F69" s="11" t="inlineStr">
        <is>
          <t>部落格</t>
        </is>
      </c>
      <c r="G69" s="10" t="inlineStr">
        <is>
          <t>L2</t>
        </is>
      </c>
      <c r="H69" s="10" t="inlineStr">
        <is>
          <t>P2</t>
        </is>
      </c>
    </row>
    <row r="70">
      <c r="A70" s="7" t="inlineStr">
        <is>
          <t>A4-09</t>
        </is>
      </c>
      <c r="B70" s="7" t="inlineStr">
        <is>
          <t>A4 定位輔具選購與比較</t>
        </is>
      </c>
      <c r="C70" s="8" t="inlineStr">
        <is>
          <t>SOS 按鈕真的會被按嗎？失智長輩的現實</t>
        </is>
      </c>
      <c r="D70" s="7" t="inlineStr">
        <is>
          <t>家屬</t>
        </is>
      </c>
      <c r="E70" s="8" t="inlineStr">
        <is>
          <t>反思</t>
        </is>
      </c>
      <c r="F70" s="8" t="inlineStr">
        <is>
          <t>Dcard</t>
        </is>
      </c>
      <c r="G70" s="7" t="inlineStr">
        <is>
          <t>L1</t>
        </is>
      </c>
      <c r="H70" s="7" t="inlineStr">
        <is>
          <t>P3</t>
        </is>
      </c>
    </row>
    <row r="71">
      <c r="A71" s="10" t="inlineStr">
        <is>
          <t>A4-10</t>
        </is>
      </c>
      <c r="B71" s="10" t="inlineStr">
        <is>
          <t>A4 定位輔具選購與比較</t>
        </is>
      </c>
      <c r="C71" s="11" t="inlineStr">
        <is>
          <t>防水等級 IPX 怎麼看：洗澡、淋雨、下水差很多</t>
        </is>
      </c>
      <c r="D71" s="10" t="inlineStr">
        <is>
          <t>3C</t>
        </is>
      </c>
      <c r="E71" s="11" t="inlineStr">
        <is>
          <t>科普</t>
        </is>
      </c>
      <c r="F71" s="11" t="inlineStr">
        <is>
          <t>Mobile01</t>
        </is>
      </c>
      <c r="G71" s="10" t="inlineStr">
        <is>
          <t>L1</t>
        </is>
      </c>
      <c r="H71" s="10" t="inlineStr">
        <is>
          <t>P3</t>
        </is>
      </c>
    </row>
    <row r="72">
      <c r="A72" s="7" t="inlineStr">
        <is>
          <t>A4-11</t>
        </is>
      </c>
      <c r="B72" s="7" t="inlineStr">
        <is>
          <t>A4 定位輔具選購與比較</t>
        </is>
      </c>
      <c r="C72" s="8" t="inlineStr">
        <is>
          <t>鞋墊可以剪嗎？尺寸怎麼挑（22–28cm 實測）</t>
        </is>
      </c>
      <c r="D72" s="7" t="inlineStr">
        <is>
          <t>家屬</t>
        </is>
      </c>
      <c r="E72" s="8" t="inlineStr">
        <is>
          <t>實用</t>
        </is>
      </c>
      <c r="F72" s="8" t="inlineStr">
        <is>
          <t>部落格／影片</t>
        </is>
      </c>
      <c r="G72" s="7" t="inlineStr">
        <is>
          <t>L3</t>
        </is>
      </c>
      <c r="H72" s="7" t="inlineStr">
        <is>
          <t>P2</t>
        </is>
      </c>
    </row>
    <row r="73">
      <c r="A73" s="10" t="inlineStr">
        <is>
          <t>A4-12</t>
        </is>
      </c>
      <c r="B73" s="10" t="inlineStr">
        <is>
          <t>A4 定位輔具選購與比較</t>
        </is>
      </c>
      <c r="C73" s="11" t="inlineStr">
        <is>
          <t>裝置壞掉、弄丟怎麼辦？保固與換新條款要看哪幾行</t>
        </is>
      </c>
      <c r="D73" s="10" t="inlineStr">
        <is>
          <t>家屬</t>
        </is>
      </c>
      <c r="E73" s="11" t="inlineStr">
        <is>
          <t>避雷</t>
        </is>
      </c>
      <c r="F73" s="11" t="inlineStr">
        <is>
          <t>部落格</t>
        </is>
      </c>
      <c r="G73" s="10" t="inlineStr">
        <is>
          <t>L2</t>
        </is>
      </c>
      <c r="H73" s="10" t="inlineStr">
        <is>
          <t>P2</t>
        </is>
      </c>
    </row>
    <row r="74">
      <c r="A74" s="7" t="inlineStr">
        <is>
          <t>A4-13</t>
        </is>
      </c>
      <c r="B74" s="7" t="inlineStr">
        <is>
          <t>A4 定位輔具選購與比較</t>
        </is>
      </c>
      <c r="C74" s="8" t="inlineStr">
        <is>
          <t>買之前一定要問廠商的 10 個問題（可截圖收藏）</t>
        </is>
      </c>
      <c r="D74" s="7" t="inlineStr">
        <is>
          <t>家屬</t>
        </is>
      </c>
      <c r="E74" s="8" t="inlineStr">
        <is>
          <t>工具</t>
        </is>
      </c>
      <c r="F74" s="8" t="inlineStr">
        <is>
          <t>IG／Threads</t>
        </is>
      </c>
      <c r="G74" s="7" t="inlineStr">
        <is>
          <t>L2</t>
        </is>
      </c>
      <c r="H74" s="9" t="inlineStr">
        <is>
          <t>P1</t>
        </is>
      </c>
    </row>
    <row r="75">
      <c r="A75" s="10" t="inlineStr">
        <is>
          <t>A4-14</t>
        </is>
      </c>
      <c r="B75" s="10" t="inlineStr">
        <is>
          <t>A4 定位輔具選購與比較</t>
        </is>
      </c>
      <c r="C75" s="11" t="inlineStr">
        <is>
          <t>網購定位器的 5 個地雷（低價款為什麼不能買）</t>
        </is>
      </c>
      <c r="D75" s="10" t="inlineStr">
        <is>
          <t>家屬</t>
        </is>
      </c>
      <c r="E75" s="11" t="inlineStr">
        <is>
          <t>避雷</t>
        </is>
      </c>
      <c r="F75" s="11" t="inlineStr">
        <is>
          <t>Dcard</t>
        </is>
      </c>
      <c r="G75" s="10" t="inlineStr">
        <is>
          <t>L1</t>
        </is>
      </c>
      <c r="H75" s="10" t="inlineStr">
        <is>
          <t>P2</t>
        </is>
      </c>
    </row>
    <row r="76">
      <c r="A76" s="7" t="inlineStr">
        <is>
          <t>A4-15</t>
        </is>
      </c>
      <c r="B76" s="7" t="inlineStr">
        <is>
          <t>A4 定位輔具選購與比較</t>
        </is>
      </c>
      <c r="C76" s="8" t="inlineStr">
        <is>
          <t>二手、水貨定位器的風險</t>
        </is>
      </c>
      <c r="D76" s="7" t="inlineStr">
        <is>
          <t>家屬</t>
        </is>
      </c>
      <c r="E76" s="8" t="inlineStr">
        <is>
          <t>避雷</t>
        </is>
      </c>
      <c r="F76" s="8" t="inlineStr">
        <is>
          <t>Mobile01</t>
        </is>
      </c>
      <c r="G76" s="7" t="inlineStr">
        <is>
          <t>L1</t>
        </is>
      </c>
      <c r="H76" s="7" t="inlineStr">
        <is>
          <t>P3</t>
        </is>
      </c>
    </row>
    <row r="77">
      <c r="A77" s="10" t="inlineStr">
        <is>
          <t>A4-16</t>
        </is>
      </c>
      <c r="B77" s="10" t="inlineStr">
        <is>
          <t>A4 定位輔具選購與比較</t>
        </is>
      </c>
      <c r="C77" s="11" t="inlineStr">
        <is>
          <t>NCC 型式認證是什麼？怎麼自己查得到</t>
        </is>
      </c>
      <c r="D77" s="10" t="inlineStr">
        <is>
          <t>3C</t>
        </is>
      </c>
      <c r="E77" s="11" t="inlineStr">
        <is>
          <t>科普</t>
        </is>
      </c>
      <c r="F77" s="11" t="inlineStr">
        <is>
          <t>部落格</t>
        </is>
      </c>
      <c r="G77" s="10" t="inlineStr">
        <is>
          <t>L2</t>
        </is>
      </c>
      <c r="H77" s="9" t="inlineStr">
        <is>
          <t>P1</t>
        </is>
      </c>
    </row>
    <row r="78">
      <c r="A78" s="7" t="inlineStr">
        <is>
          <t>A4-17</t>
        </is>
      </c>
      <c r="B78" s="7" t="inlineStr">
        <is>
          <t>A4 定位輔具選購與比較</t>
        </is>
      </c>
      <c r="C78" s="8" t="inlineStr">
        <is>
          <t>App 有沒有做資安檢測，為什麼你該在意</t>
        </is>
      </c>
      <c r="D78" s="7" t="inlineStr">
        <is>
          <t>3C／公共</t>
        </is>
      </c>
      <c r="E78" s="8" t="inlineStr">
        <is>
          <t>議題</t>
        </is>
      </c>
      <c r="F78" s="8" t="inlineStr">
        <is>
          <t>Mobile01</t>
        </is>
      </c>
      <c r="G78" s="7" t="inlineStr">
        <is>
          <t>L2</t>
        </is>
      </c>
      <c r="H78" s="7" t="inlineStr">
        <is>
          <t>P2</t>
        </is>
      </c>
    </row>
    <row r="79">
      <c r="A79" s="10" t="inlineStr">
        <is>
          <t>A4-18</t>
        </is>
      </c>
      <c r="B79" s="10" t="inlineStr">
        <is>
          <t>A4 定位輔具選購與比較</t>
        </is>
      </c>
      <c r="C79" s="11" t="inlineStr">
        <is>
          <t>一個家庭同時用兩種裝置，怎麼搭最省</t>
        </is>
      </c>
      <c r="D79" s="10" t="inlineStr">
        <is>
          <t>家屬</t>
        </is>
      </c>
      <c r="E79" s="11" t="inlineStr">
        <is>
          <t>組合</t>
        </is>
      </c>
      <c r="F79" s="11" t="inlineStr">
        <is>
          <t>部落格</t>
        </is>
      </c>
      <c r="G79" s="10" t="inlineStr">
        <is>
          <t>L2</t>
        </is>
      </c>
      <c r="H79" s="10" t="inlineStr">
        <is>
          <t>P3</t>
        </is>
      </c>
    </row>
    <row r="80">
      <c r="A80" s="7" t="inlineStr">
        <is>
          <t>A4-19</t>
        </is>
      </c>
      <c r="B80" s="7" t="inlineStr">
        <is>
          <t>A4 定位輔具選購與比較</t>
        </is>
      </c>
      <c r="C80" s="8" t="inlineStr">
        <is>
          <t>輕度／中度／重度失智，對應不同的裝置選擇</t>
        </is>
      </c>
      <c r="D80" s="7" t="inlineStr">
        <is>
          <t>家屬</t>
        </is>
      </c>
      <c r="E80" s="8" t="inlineStr">
        <is>
          <t>決策</t>
        </is>
      </c>
      <c r="F80" s="8" t="inlineStr">
        <is>
          <t>部落格</t>
        </is>
      </c>
      <c r="G80" s="7" t="inlineStr">
        <is>
          <t>L2</t>
        </is>
      </c>
      <c r="H80" s="9" t="inlineStr">
        <is>
          <t>P1</t>
        </is>
      </c>
    </row>
    <row r="81">
      <c r="A81" s="10" t="inlineStr">
        <is>
          <t>A4-20</t>
        </is>
      </c>
      <c r="B81" s="10" t="inlineStr">
        <is>
          <t>A4 定位輔具選購與比較</t>
        </is>
      </c>
      <c r="C81" s="11" t="inlineStr">
        <is>
          <t>定位裝置選購決策表（一頁 PDF 可下載）</t>
        </is>
      </c>
      <c r="D81" s="10" t="inlineStr">
        <is>
          <t>家屬</t>
        </is>
      </c>
      <c r="E81" s="11" t="inlineStr">
        <is>
          <t>工具</t>
        </is>
      </c>
      <c r="F81" s="11" t="inlineStr">
        <is>
          <t>部落格／IG</t>
        </is>
      </c>
      <c r="G81" s="10" t="inlineStr">
        <is>
          <t>L2</t>
        </is>
      </c>
      <c r="H81" s="9" t="inlineStr">
        <is>
          <t>P1</t>
        </is>
      </c>
    </row>
    <row r="82">
      <c r="A82" s="7" t="inlineStr">
        <is>
          <t>A5-01</t>
        </is>
      </c>
      <c r="B82" s="7" t="inlineStr">
        <is>
          <t>A5 長照機構與日照導入</t>
        </is>
      </c>
      <c r="C82" s="8" t="inlineStr">
        <is>
          <t>機構最怕的不是走失，是「說不清楚」</t>
        </is>
      </c>
      <c r="D82" s="7" t="inlineStr">
        <is>
          <t>機構</t>
        </is>
      </c>
      <c r="E82" s="8" t="inlineStr">
        <is>
          <t>痛點</t>
        </is>
      </c>
      <c r="F82" s="8" t="inlineStr">
        <is>
          <t>LinkedIn／產業媒體</t>
        </is>
      </c>
      <c r="G82" s="7" t="inlineStr">
        <is>
          <t>L1</t>
        </is>
      </c>
      <c r="H82" s="9" t="inlineStr">
        <is>
          <t>P1</t>
        </is>
      </c>
    </row>
    <row r="83">
      <c r="A83" s="10" t="inlineStr">
        <is>
          <t>A5-02</t>
        </is>
      </c>
      <c r="B83" s="10" t="inlineStr">
        <is>
          <t>A5 長照機構與日照導入</t>
        </is>
      </c>
      <c r="C83" s="11" t="inlineStr">
        <is>
          <t>住民離區提醒怎麼設計才不會擾民</t>
        </is>
      </c>
      <c r="D83" s="10" t="inlineStr">
        <is>
          <t>機構</t>
        </is>
      </c>
      <c r="E83" s="11" t="inlineStr">
        <is>
          <t>方法</t>
        </is>
      </c>
      <c r="F83" s="11" t="inlineStr">
        <is>
          <t>產業媒體</t>
        </is>
      </c>
      <c r="G83" s="10" t="inlineStr">
        <is>
          <t>L2</t>
        </is>
      </c>
      <c r="H83" s="10" t="inlineStr">
        <is>
          <t>P2</t>
        </is>
      </c>
    </row>
    <row r="84">
      <c r="A84" s="7" t="inlineStr">
        <is>
          <t>A5-03</t>
        </is>
      </c>
      <c r="B84" s="7" t="inlineStr">
        <is>
          <t>A5 長照機構與日照導入</t>
        </is>
      </c>
      <c r="C84" s="8" t="inlineStr">
        <is>
          <t>交班紀錄的空白，科技能補哪一段</t>
        </is>
      </c>
      <c r="D84" s="7" t="inlineStr">
        <is>
          <t>機構</t>
        </is>
      </c>
      <c r="E84" s="8" t="inlineStr">
        <is>
          <t>方法</t>
        </is>
      </c>
      <c r="F84" s="8" t="inlineStr">
        <is>
          <t>LinkedIn</t>
        </is>
      </c>
      <c r="G84" s="7" t="inlineStr">
        <is>
          <t>L2</t>
        </is>
      </c>
      <c r="H84" s="7" t="inlineStr">
        <is>
          <t>P2</t>
        </is>
      </c>
    </row>
    <row r="85">
      <c r="A85" s="10" t="inlineStr">
        <is>
          <t>A5-04</t>
        </is>
      </c>
      <c r="B85" s="10" t="inlineStr">
        <is>
          <t>A5 長照機構與日照導入</t>
        </is>
      </c>
      <c r="C85" s="11" t="inlineStr">
        <is>
          <t>出入口、電梯口的佈點邏輯（為什麼不是裝越多越好）</t>
        </is>
      </c>
      <c r="D85" s="10" t="inlineStr">
        <is>
          <t>機構</t>
        </is>
      </c>
      <c r="E85" s="11" t="inlineStr">
        <is>
          <t>專業</t>
        </is>
      </c>
      <c r="F85" s="11" t="inlineStr">
        <is>
          <t>產業媒體</t>
        </is>
      </c>
      <c r="G85" s="10" t="inlineStr">
        <is>
          <t>L2</t>
        </is>
      </c>
      <c r="H85" s="10" t="inlineStr">
        <is>
          <t>P2</t>
        </is>
      </c>
    </row>
    <row r="86">
      <c r="A86" s="7" t="inlineStr">
        <is>
          <t>A5-05</t>
        </is>
      </c>
      <c r="B86" s="7" t="inlineStr">
        <is>
          <t>A5 長照機構與日照導入</t>
        </is>
      </c>
      <c r="C86" s="8" t="inlineStr">
        <is>
          <t>日照中心接送的空窗期風險</t>
        </is>
      </c>
      <c r="D86" s="7" t="inlineStr">
        <is>
          <t>機構</t>
        </is>
      </c>
      <c r="E86" s="8" t="inlineStr">
        <is>
          <t>場景</t>
        </is>
      </c>
      <c r="F86" s="8" t="inlineStr">
        <is>
          <t>FB 社團</t>
        </is>
      </c>
      <c r="G86" s="7" t="inlineStr">
        <is>
          <t>L1</t>
        </is>
      </c>
      <c r="H86" s="9" t="inlineStr">
        <is>
          <t>P1</t>
        </is>
      </c>
    </row>
    <row r="87">
      <c r="A87" s="10" t="inlineStr">
        <is>
          <t>A5-06</t>
        </is>
      </c>
      <c r="B87" s="10" t="inlineStr">
        <is>
          <t>A5 長照機構與日照導入</t>
        </is>
      </c>
      <c r="C87" s="11" t="inlineStr">
        <is>
          <t>評鑑會問的那幾題，跟紀錄可追溯有什麼關係</t>
        </is>
      </c>
      <c r="D87" s="10" t="inlineStr">
        <is>
          <t>機構</t>
        </is>
      </c>
      <c r="E87" s="11" t="inlineStr">
        <is>
          <t>攻略</t>
        </is>
      </c>
      <c r="F87" s="11" t="inlineStr">
        <is>
          <t>產業媒體</t>
        </is>
      </c>
      <c r="G87" s="10" t="inlineStr">
        <is>
          <t>L2</t>
        </is>
      </c>
      <c r="H87" s="9" t="inlineStr">
        <is>
          <t>P1</t>
        </is>
      </c>
    </row>
    <row r="88">
      <c r="A88" s="7" t="inlineStr">
        <is>
          <t>A5-07</t>
        </is>
      </c>
      <c r="B88" s="7" t="inlineStr">
        <is>
          <t>A5 長照機構與日照導入</t>
        </is>
      </c>
      <c r="C88" s="8" t="inlineStr">
        <is>
          <t>機構導入科技的 ROI 怎麼算（含試算表）</t>
        </is>
      </c>
      <c r="D88" s="7" t="inlineStr">
        <is>
          <t>機構</t>
        </is>
      </c>
      <c r="E88" s="8" t="inlineStr">
        <is>
          <t>試算</t>
        </is>
      </c>
      <c r="F88" s="8" t="inlineStr">
        <is>
          <t>LinkedIn</t>
        </is>
      </c>
      <c r="G88" s="7" t="inlineStr">
        <is>
          <t>L2</t>
        </is>
      </c>
      <c r="H88" s="9" t="inlineStr">
        <is>
          <t>P1</t>
        </is>
      </c>
    </row>
    <row r="89">
      <c r="A89" s="10" t="inlineStr">
        <is>
          <t>A5-08</t>
        </is>
      </c>
      <c r="B89" s="10" t="inlineStr">
        <is>
          <t>A5 長照機構與日照導入</t>
        </is>
      </c>
      <c r="C89" s="11" t="inlineStr">
        <is>
          <t>人力不足下的科技補位：不取代 SOP，補的是空白</t>
        </is>
      </c>
      <c r="D89" s="10" t="inlineStr">
        <is>
          <t>機構</t>
        </is>
      </c>
      <c r="E89" s="11" t="inlineStr">
        <is>
          <t>觀念</t>
        </is>
      </c>
      <c r="F89" s="11" t="inlineStr">
        <is>
          <t>產業媒體</t>
        </is>
      </c>
      <c r="G89" s="10" t="inlineStr">
        <is>
          <t>L2</t>
        </is>
      </c>
      <c r="H89" s="10" t="inlineStr">
        <is>
          <t>P2</t>
        </is>
      </c>
    </row>
    <row r="90">
      <c r="A90" s="7" t="inlineStr">
        <is>
          <t>A5-09</t>
        </is>
      </c>
      <c r="B90" s="7" t="inlineStr">
        <is>
          <t>A5 長照機構與日照導入</t>
        </is>
      </c>
      <c r="C90" s="8" t="inlineStr">
        <is>
          <t>家屬的信任感，其實是靠「查得到」建立的</t>
        </is>
      </c>
      <c r="D90" s="7" t="inlineStr">
        <is>
          <t>機構</t>
        </is>
      </c>
      <c r="E90" s="8" t="inlineStr">
        <is>
          <t>觀念</t>
        </is>
      </c>
      <c r="F90" s="8" t="inlineStr">
        <is>
          <t>LinkedIn</t>
        </is>
      </c>
      <c r="G90" s="7" t="inlineStr">
        <is>
          <t>L2</t>
        </is>
      </c>
      <c r="H90" s="9" t="inlineStr">
        <is>
          <t>P1</t>
        </is>
      </c>
    </row>
    <row r="91">
      <c r="A91" s="10" t="inlineStr">
        <is>
          <t>A5-10</t>
        </is>
      </c>
      <c r="B91" s="10" t="inlineStr">
        <is>
          <t>A5 長照機構與日照導入</t>
        </is>
      </c>
      <c r="C91" s="11" t="inlineStr">
        <is>
          <t>住民定位的同意書與隱私告知該怎麼寫</t>
        </is>
      </c>
      <c r="D91" s="10" t="inlineStr">
        <is>
          <t>機構／公共</t>
        </is>
      </c>
      <c r="E91" s="11" t="inlineStr">
        <is>
          <t>合規</t>
        </is>
      </c>
      <c r="F91" s="11" t="inlineStr">
        <is>
          <t>產業媒體</t>
        </is>
      </c>
      <c r="G91" s="10" t="inlineStr">
        <is>
          <t>L2</t>
        </is>
      </c>
      <c r="H91" s="10" t="inlineStr">
        <is>
          <t>P2</t>
        </is>
      </c>
    </row>
    <row r="92">
      <c r="A92" s="7" t="inlineStr">
        <is>
          <t>A5-11</t>
        </is>
      </c>
      <c r="B92" s="7" t="inlineStr">
        <is>
          <t>A5 長照機構與日照導入</t>
        </is>
      </c>
      <c r="C92" s="8" t="inlineStr">
        <is>
          <t>團體家屋 vs 住宿機構：需求差在哪</t>
        </is>
      </c>
      <c r="D92" s="7" t="inlineStr">
        <is>
          <t>機構</t>
        </is>
      </c>
      <c r="E92" s="8" t="inlineStr">
        <is>
          <t>分眾</t>
        </is>
      </c>
      <c r="F92" s="8" t="inlineStr">
        <is>
          <t>產業媒體</t>
        </is>
      </c>
      <c r="G92" s="7" t="inlineStr">
        <is>
          <t>L1</t>
        </is>
      </c>
      <c r="H92" s="7" t="inlineStr">
        <is>
          <t>P3</t>
        </is>
      </c>
    </row>
    <row r="93">
      <c r="A93" s="10" t="inlineStr">
        <is>
          <t>A5-12</t>
        </is>
      </c>
      <c r="B93" s="10" t="inlineStr">
        <is>
          <t>A5 長照機構與日照導入</t>
        </is>
      </c>
      <c r="C93" s="11" t="inlineStr">
        <is>
          <t>偏鄉機構的網路條件，能導入什麼</t>
        </is>
      </c>
      <c r="D93" s="10" t="inlineStr">
        <is>
          <t>機構</t>
        </is>
      </c>
      <c r="E93" s="11" t="inlineStr">
        <is>
          <t>現實</t>
        </is>
      </c>
      <c r="F93" s="11" t="inlineStr">
        <is>
          <t>產業媒體</t>
        </is>
      </c>
      <c r="G93" s="10" t="inlineStr">
        <is>
          <t>L2</t>
        </is>
      </c>
      <c r="H93" s="10" t="inlineStr">
        <is>
          <t>P3</t>
        </is>
      </c>
    </row>
    <row r="94">
      <c r="A94" s="7" t="inlineStr">
        <is>
          <t>A5-13</t>
        </is>
      </c>
      <c r="B94" s="7" t="inlineStr">
        <is>
          <t>A5 長照機構與日照導入</t>
        </is>
      </c>
      <c r="C94" s="8" t="inlineStr">
        <is>
          <t>小型機構先從一層樓開始的可行性</t>
        </is>
      </c>
      <c r="D94" s="7" t="inlineStr">
        <is>
          <t>機構</t>
        </is>
      </c>
      <c r="E94" s="8" t="inlineStr">
        <is>
          <t>導入法</t>
        </is>
      </c>
      <c r="F94" s="8" t="inlineStr">
        <is>
          <t>LinkedIn</t>
        </is>
      </c>
      <c r="G94" s="7" t="inlineStr">
        <is>
          <t>L3</t>
        </is>
      </c>
      <c r="H94" s="7" t="inlineStr">
        <is>
          <t>P2</t>
        </is>
      </c>
    </row>
    <row r="95">
      <c r="A95" s="10" t="inlineStr">
        <is>
          <t>A5-14</t>
        </is>
      </c>
      <c r="B95" s="10" t="inlineStr">
        <is>
          <t>A5 長照機構與日照導入</t>
        </is>
      </c>
      <c r="C95" s="11" t="inlineStr">
        <is>
          <t>智慧照顧科技的獎勵與補助怎麼申請</t>
        </is>
      </c>
      <c r="D95" s="10" t="inlineStr">
        <is>
          <t>機構</t>
        </is>
      </c>
      <c r="E95" s="11" t="inlineStr">
        <is>
          <t>政策</t>
        </is>
      </c>
      <c r="F95" s="11" t="inlineStr">
        <is>
          <t>產業媒體</t>
        </is>
      </c>
      <c r="G95" s="10" t="inlineStr">
        <is>
          <t>L1</t>
        </is>
      </c>
      <c r="H95" s="9" t="inlineStr">
        <is>
          <t>P1</t>
        </is>
      </c>
    </row>
    <row r="96">
      <c r="A96" s="7" t="inlineStr">
        <is>
          <t>A5-15</t>
        </is>
      </c>
      <c r="B96" s="7" t="inlineStr">
        <is>
          <t>A5 長照機構與日照導入</t>
        </is>
      </c>
      <c r="C96" s="8" t="inlineStr">
        <is>
          <t>照服員不想多學一套系統，怎麼設計才不被排斥</t>
        </is>
      </c>
      <c r="D96" s="7" t="inlineStr">
        <is>
          <t>機構</t>
        </is>
      </c>
      <c r="E96" s="8" t="inlineStr">
        <is>
          <t>現場</t>
        </is>
      </c>
      <c r="F96" s="8" t="inlineStr">
        <is>
          <t>FB 社團</t>
        </is>
      </c>
      <c r="G96" s="7" t="inlineStr">
        <is>
          <t>L2</t>
        </is>
      </c>
      <c r="H96" s="7" t="inlineStr">
        <is>
          <t>P2</t>
        </is>
      </c>
    </row>
    <row r="97">
      <c r="A97" s="10" t="inlineStr">
        <is>
          <t>A5-16</t>
        </is>
      </c>
      <c r="B97" s="10" t="inlineStr">
        <is>
          <t>A5 長照機構與日照導入</t>
        </is>
      </c>
      <c r="C97" s="11" t="inlineStr">
        <is>
          <t>夜班人力與異常告警的搭配設計</t>
        </is>
      </c>
      <c r="D97" s="10" t="inlineStr">
        <is>
          <t>機構</t>
        </is>
      </c>
      <c r="E97" s="11" t="inlineStr">
        <is>
          <t>方法</t>
        </is>
      </c>
      <c r="F97" s="11" t="inlineStr">
        <is>
          <t>產業媒體</t>
        </is>
      </c>
      <c r="G97" s="10" t="inlineStr">
        <is>
          <t>L2</t>
        </is>
      </c>
      <c r="H97" s="10" t="inlineStr">
        <is>
          <t>P2</t>
        </is>
      </c>
    </row>
    <row r="98">
      <c r="A98" s="7" t="inlineStr">
        <is>
          <t>A5-17</t>
        </is>
      </c>
      <c r="B98" s="7" t="inlineStr">
        <is>
          <t>A5 長照機構與日照導入</t>
        </is>
      </c>
      <c r="C98" s="8" t="inlineStr">
        <is>
          <t>走失事件後的內部檢討會怎麼開</t>
        </is>
      </c>
      <c r="D98" s="7" t="inlineStr">
        <is>
          <t>機構</t>
        </is>
      </c>
      <c r="E98" s="8" t="inlineStr">
        <is>
          <t>工具</t>
        </is>
      </c>
      <c r="F98" s="8" t="inlineStr">
        <is>
          <t>LinkedIn</t>
        </is>
      </c>
      <c r="G98" s="7" t="inlineStr">
        <is>
          <t>L1</t>
        </is>
      </c>
      <c r="H98" s="7" t="inlineStr">
        <is>
          <t>P2</t>
        </is>
      </c>
    </row>
    <row r="99">
      <c r="A99" s="10" t="inlineStr">
        <is>
          <t>A5-18</t>
        </is>
      </c>
      <c r="B99" s="10" t="inlineStr">
        <is>
          <t>A5 長照機構與日照導入</t>
        </is>
      </c>
      <c r="C99" s="11" t="inlineStr">
        <is>
          <t>機構科技採購的 5 個常見誤區</t>
        </is>
      </c>
      <c r="D99" s="10" t="inlineStr">
        <is>
          <t>機構</t>
        </is>
      </c>
      <c r="E99" s="11" t="inlineStr">
        <is>
          <t>避雷</t>
        </is>
      </c>
      <c r="F99" s="11" t="inlineStr">
        <is>
          <t>產業媒體</t>
        </is>
      </c>
      <c r="G99" s="10" t="inlineStr">
        <is>
          <t>L2</t>
        </is>
      </c>
      <c r="H99" s="10" t="inlineStr">
        <is>
          <t>P2</t>
        </is>
      </c>
    </row>
    <row r="100">
      <c r="A100" s="7" t="inlineStr">
        <is>
          <t>A5-19</t>
        </is>
      </c>
      <c r="B100" s="7" t="inlineStr">
        <is>
          <t>A5 長照機構與日照導入</t>
        </is>
      </c>
      <c r="C100" s="8" t="inlineStr">
        <is>
          <t>從場勘到驗收的實際時間表</t>
        </is>
      </c>
      <c r="D100" s="7" t="inlineStr">
        <is>
          <t>機構</t>
        </is>
      </c>
      <c r="E100" s="8" t="inlineStr">
        <is>
          <t>期待管理</t>
        </is>
      </c>
      <c r="F100" s="8" t="inlineStr">
        <is>
          <t>LinkedIn</t>
        </is>
      </c>
      <c r="G100" s="7" t="inlineStr">
        <is>
          <t>L3</t>
        </is>
      </c>
      <c r="H100" s="7" t="inlineStr">
        <is>
          <t>P2</t>
        </is>
      </c>
    </row>
    <row r="101">
      <c r="A101" s="10" t="inlineStr">
        <is>
          <t>A5-20</t>
        </is>
      </c>
      <c r="B101" s="10" t="inlineStr">
        <is>
          <t>A5 長照機構與日照導入</t>
        </is>
      </c>
      <c r="C101" s="11" t="inlineStr">
        <is>
          <t>導入前的 10 題自我檢查表</t>
        </is>
      </c>
      <c r="D101" s="10" t="inlineStr">
        <is>
          <t>機構</t>
        </is>
      </c>
      <c r="E101" s="11" t="inlineStr">
        <is>
          <t>工具</t>
        </is>
      </c>
      <c r="F101" s="11" t="inlineStr">
        <is>
          <t>產業媒體</t>
        </is>
      </c>
      <c r="G101" s="10" t="inlineStr">
        <is>
          <t>L3</t>
        </is>
      </c>
      <c r="H101" s="9" t="inlineStr">
        <is>
          <t>P1</t>
        </is>
      </c>
    </row>
    <row r="102">
      <c r="A102" s="7" t="inlineStr">
        <is>
          <t>A5-21</t>
        </is>
      </c>
      <c r="B102" s="7" t="inlineStr">
        <is>
          <t>A5 長照機構與日照導入</t>
        </is>
      </c>
      <c r="C102" s="8" t="inlineStr">
        <is>
          <t>裝了定位之後，我們終於敢開放花園</t>
        </is>
      </c>
      <c r="D102" s="7" t="inlineStr">
        <is>
          <t>機構</t>
        </is>
      </c>
      <c r="E102" s="8" t="inlineStr">
        <is>
          <t>敘事翻轉</t>
        </is>
      </c>
      <c r="F102" s="8" t="inlineStr">
        <is>
          <t>產業媒體／LinkedIn</t>
        </is>
      </c>
      <c r="G102" s="7" t="inlineStr">
        <is>
          <t>L1</t>
        </is>
      </c>
      <c r="H102" s="9" t="inlineStr">
        <is>
          <t>P1</t>
        </is>
      </c>
    </row>
    <row r="103">
      <c r="A103" s="10" t="inlineStr">
        <is>
          <t>A5-22</t>
        </is>
      </c>
      <c r="B103" s="10" t="inlineStr">
        <is>
          <t>A5 長照機構與日照導入</t>
        </is>
      </c>
      <c r="C103" s="11" t="inlineStr">
        <is>
          <t>請假外出的那一段，誰在看著</t>
        </is>
      </c>
      <c r="D103" s="10" t="inlineStr">
        <is>
          <t>機構</t>
        </is>
      </c>
      <c r="E103" s="11" t="inlineStr">
        <is>
          <t>缺口揭露</t>
        </is>
      </c>
      <c r="F103" s="11" t="inlineStr">
        <is>
          <t>產業媒體</t>
        </is>
      </c>
      <c r="G103" s="10" t="inlineStr">
        <is>
          <t>L1</t>
        </is>
      </c>
      <c r="H103" s="9" t="inlineStr">
        <is>
          <t>P1</t>
        </is>
      </c>
    </row>
    <row r="104">
      <c r="A104" s="7" t="inlineStr">
        <is>
          <t>A5-23</t>
        </is>
      </c>
      <c r="B104" s="7" t="inlineStr">
        <is>
          <t>A5 長照機構與日照導入</t>
        </is>
      </c>
      <c r="C104" s="8" t="inlineStr">
        <is>
          <t>「多久才發現」與「發現後多久處置」：兩個決定責任的時間</t>
        </is>
      </c>
      <c r="D104" s="7" t="inlineStr">
        <is>
          <t>機構</t>
        </is>
      </c>
      <c r="E104" s="8" t="inlineStr">
        <is>
          <t>風險</t>
        </is>
      </c>
      <c r="F104" s="8" t="inlineStr">
        <is>
          <t>產業媒體</t>
        </is>
      </c>
      <c r="G104" s="7" t="inlineStr">
        <is>
          <t>L1</t>
        </is>
      </c>
      <c r="H104" s="9" t="inlineStr">
        <is>
          <t>P1</t>
        </is>
      </c>
    </row>
    <row r="105">
      <c r="A105" s="10" t="inlineStr">
        <is>
          <t>A5-24</t>
        </is>
      </c>
      <c r="B105" s="10" t="inlineStr">
        <is>
          <t>A5 長照機構與日照導入</t>
        </is>
      </c>
      <c r="C105" s="11" t="inlineStr">
        <is>
          <t>尋人現況：調監視器＋地毯式搜查要花多久</t>
        </is>
      </c>
      <c r="D105" s="10" t="inlineStr">
        <is>
          <t>機構／公共</t>
        </is>
      </c>
      <c r="E105" s="11" t="inlineStr">
        <is>
          <t>對照組</t>
        </is>
      </c>
      <c r="F105" s="11" t="inlineStr">
        <is>
          <t>Threads／產業媒體</t>
        </is>
      </c>
      <c r="G105" s="10" t="inlineStr">
        <is>
          <t>L0</t>
        </is>
      </c>
      <c r="H105" s="9" t="inlineStr">
        <is>
          <t>P1</t>
        </is>
      </c>
    </row>
    <row r="106">
      <c r="A106" s="7" t="inlineStr">
        <is>
          <t>A5-25</t>
        </is>
      </c>
      <c r="B106" s="7" t="inlineStr">
        <is>
          <t>A5 長照機構與日照導入</t>
        </is>
      </c>
      <c r="C106" s="8" t="inlineStr">
        <is>
          <t>住民不肯戴，是機構導入定位最大的障礙（第三方研究怎麼說）</t>
        </is>
      </c>
      <c r="D106" s="7" t="inlineStr">
        <is>
          <t>機構</t>
        </is>
      </c>
      <c r="E106" s="8" t="inlineStr">
        <is>
          <t>第三方佐證</t>
        </is>
      </c>
      <c r="F106" s="8" t="inlineStr">
        <is>
          <t>產業媒體</t>
        </is>
      </c>
      <c r="G106" s="7" t="inlineStr">
        <is>
          <t>L1</t>
        </is>
      </c>
      <c r="H106" s="9" t="inlineStr">
        <is>
          <t>P1</t>
        </is>
      </c>
    </row>
    <row r="107">
      <c r="A107" s="10" t="inlineStr">
        <is>
          <t>A5-26</t>
        </is>
      </c>
      <c r="B107" s="10" t="inlineStr">
        <is>
          <t>A5 長照機構與日照導入</t>
        </is>
      </c>
      <c r="C107" s="11" t="inlineStr">
        <is>
          <t>Beacon 放一顆不夠：交誼廳跳點的實務教訓</t>
        </is>
      </c>
      <c r="D107" s="10" t="inlineStr">
        <is>
          <t>機構／3C</t>
        </is>
      </c>
      <c r="E107" s="11" t="inlineStr">
        <is>
          <t>技術誠實</t>
        </is>
      </c>
      <c r="F107" s="11" t="inlineStr">
        <is>
          <t>技術部落格</t>
        </is>
      </c>
      <c r="G107" s="10" t="inlineStr">
        <is>
          <t>L2</t>
        </is>
      </c>
      <c r="H107" s="10" t="inlineStr">
        <is>
          <t>P2</t>
        </is>
      </c>
    </row>
    <row r="108">
      <c r="A108" s="7" t="inlineStr">
        <is>
          <t>A5-27</t>
        </is>
      </c>
      <c r="B108" s="7" t="inlineStr">
        <is>
          <t>A5 長照機構與日照導入</t>
        </is>
      </c>
      <c r="C108" s="8" t="inlineStr">
        <is>
          <t>機構導入前的網路與電力盤點清單</t>
        </is>
      </c>
      <c r="D108" s="7" t="inlineStr">
        <is>
          <t>機構</t>
        </is>
      </c>
      <c r="E108" s="8" t="inlineStr">
        <is>
          <t>工具</t>
        </is>
      </c>
      <c r="F108" s="8" t="inlineStr">
        <is>
          <t>LinkedIn</t>
        </is>
      </c>
      <c r="G108" s="7" t="inlineStr">
        <is>
          <t>L2</t>
        </is>
      </c>
      <c r="H108" s="9" t="inlineStr">
        <is>
          <t>P1</t>
        </is>
      </c>
    </row>
    <row r="109">
      <c r="A109" s="10" t="inlineStr">
        <is>
          <t>A5-28</t>
        </is>
      </c>
      <c r="B109" s="10" t="inlineStr">
        <is>
          <t>A5 長照機構與日照導入</t>
        </is>
      </c>
      <c r="C109" s="11" t="inlineStr">
        <is>
          <t>PoC 該怎麼訂驗收指標（誤報率、遺漏率、維護難易度）</t>
        </is>
      </c>
      <c r="D109" s="10" t="inlineStr">
        <is>
          <t>機構</t>
        </is>
      </c>
      <c r="E109" s="11" t="inlineStr">
        <is>
          <t>方法</t>
        </is>
      </c>
      <c r="F109" s="11" t="inlineStr">
        <is>
          <t>產業媒體</t>
        </is>
      </c>
      <c r="G109" s="10" t="inlineStr">
        <is>
          <t>L2</t>
        </is>
      </c>
      <c r="H109" s="9" t="inlineStr">
        <is>
          <t>P1</t>
        </is>
      </c>
    </row>
    <row r="110">
      <c r="A110" s="7" t="inlineStr">
        <is>
          <t>A5-29</t>
        </is>
      </c>
      <c r="B110" s="7" t="inlineStr">
        <is>
          <t>A5 長照機構與日照導入</t>
        </is>
      </c>
      <c r="C110" s="8" t="inlineStr">
        <is>
          <t>員工手機也能當接收器：零硬體成本的外出活動方案</t>
        </is>
      </c>
      <c r="D110" s="7" t="inlineStr">
        <is>
          <t>機構</t>
        </is>
      </c>
      <c r="E110" s="8" t="inlineStr">
        <is>
          <t>低門檻入門</t>
        </is>
      </c>
      <c r="F110" s="8" t="inlineStr">
        <is>
          <t>產業媒體</t>
        </is>
      </c>
      <c r="G110" s="7" t="inlineStr">
        <is>
          <t>L2</t>
        </is>
      </c>
      <c r="H110" s="9" t="inlineStr">
        <is>
          <t>P1</t>
        </is>
      </c>
    </row>
    <row r="111">
      <c r="A111" s="10" t="inlineStr">
        <is>
          <t>A5-30</t>
        </is>
      </c>
      <c r="B111" s="10" t="inlineStr">
        <is>
          <t>A5 長照機構與日照導入</t>
        </is>
      </c>
      <c r="C111" s="11" t="inlineStr">
        <is>
          <t>帶失智長輩去看展覽，我們是怎麼做到的</t>
        </is>
      </c>
      <c r="D111" s="10" t="inlineStr">
        <is>
          <t>機構</t>
        </is>
      </c>
      <c r="E111" s="11" t="inlineStr">
        <is>
          <t>故事</t>
        </is>
      </c>
      <c r="F111" s="11" t="inlineStr">
        <is>
          <t>Threads／產業媒體</t>
        </is>
      </c>
      <c r="G111" s="10" t="inlineStr">
        <is>
          <t>L1</t>
        </is>
      </c>
      <c r="H111" s="9" t="inlineStr">
        <is>
          <t>P1</t>
        </is>
      </c>
    </row>
    <row r="112">
      <c r="A112" s="7" t="inlineStr">
        <is>
          <t>A6-01</t>
        </is>
      </c>
      <c r="B112" s="7" t="inlineStr">
        <is>
          <t>A6 工廠工安與人員資產定位</t>
        </is>
      </c>
      <c r="C112" s="8" t="inlineStr">
        <is>
          <t>「找不到料車」一年吃掉你多少工時（附計算公式）</t>
        </is>
      </c>
      <c r="D112" s="7" t="inlineStr">
        <is>
          <t>工廠</t>
        </is>
      </c>
      <c r="E112" s="8" t="inlineStr">
        <is>
          <t>試算</t>
        </is>
      </c>
      <c r="F112" s="8" t="inlineStr">
        <is>
          <t>LinkedIn／產業媒體</t>
        </is>
      </c>
      <c r="G112" s="7" t="inlineStr">
        <is>
          <t>L1</t>
        </is>
      </c>
      <c r="H112" s="9" t="inlineStr">
        <is>
          <t>P1</t>
        </is>
      </c>
    </row>
    <row r="113">
      <c r="A113" s="10" t="inlineStr">
        <is>
          <t>A6-02</t>
        </is>
      </c>
      <c r="B113" s="10" t="inlineStr">
        <is>
          <t>A6 工廠工安與人員資產定位</t>
        </is>
      </c>
      <c r="C113" s="11" t="inlineStr">
        <is>
          <t>消防演練點名要多久？定位導入後的實際差異</t>
        </is>
      </c>
      <c r="D113" s="10" t="inlineStr">
        <is>
          <t>工廠</t>
        </is>
      </c>
      <c r="E113" s="11" t="inlineStr">
        <is>
          <t>場景</t>
        </is>
      </c>
      <c r="F113" s="11" t="inlineStr">
        <is>
          <t>產業媒體</t>
        </is>
      </c>
      <c r="G113" s="10" t="inlineStr">
        <is>
          <t>L2</t>
        </is>
      </c>
      <c r="H113" s="9" t="inlineStr">
        <is>
          <t>P1</t>
        </is>
      </c>
    </row>
    <row r="114">
      <c r="A114" s="7" t="inlineStr">
        <is>
          <t>A6-03</t>
        </is>
      </c>
      <c r="B114" s="7" t="inlineStr">
        <is>
          <t>A6 工廠工安與人員資產定位</t>
        </is>
      </c>
      <c r="C114" s="8" t="inlineStr">
        <is>
          <t>承攬商與訪客管理：進來了，然後呢</t>
        </is>
      </c>
      <c r="D114" s="7" t="inlineStr">
        <is>
          <t>工廠</t>
        </is>
      </c>
      <c r="E114" s="8" t="inlineStr">
        <is>
          <t>合規</t>
        </is>
      </c>
      <c r="F114" s="8" t="inlineStr">
        <is>
          <t>LinkedIn</t>
        </is>
      </c>
      <c r="G114" s="7" t="inlineStr">
        <is>
          <t>L2</t>
        </is>
      </c>
      <c r="H114" s="9" t="inlineStr">
        <is>
          <t>P1</t>
        </is>
      </c>
    </row>
    <row r="115">
      <c r="A115" s="10" t="inlineStr">
        <is>
          <t>A6-04</t>
        </is>
      </c>
      <c r="B115" s="10" t="inlineStr">
        <is>
          <t>A6 工廠工安與人員資產定位</t>
        </is>
      </c>
      <c r="C115" s="11" t="inlineStr">
        <is>
          <t>單獨作業與「久未移動」告警的設計</t>
        </is>
      </c>
      <c r="D115" s="10" t="inlineStr">
        <is>
          <t>工廠</t>
        </is>
      </c>
      <c r="E115" s="11" t="inlineStr">
        <is>
          <t>方法</t>
        </is>
      </c>
      <c r="F115" s="11" t="inlineStr">
        <is>
          <t>產業媒體</t>
        </is>
      </c>
      <c r="G115" s="10" t="inlineStr">
        <is>
          <t>L2</t>
        </is>
      </c>
      <c r="H115" s="10" t="inlineStr">
        <is>
          <t>P2</t>
        </is>
      </c>
    </row>
    <row r="116">
      <c r="A116" s="7" t="inlineStr">
        <is>
          <t>A6-05</t>
        </is>
      </c>
      <c r="B116" s="7" t="inlineStr">
        <is>
          <t>A6 工廠工安與人員資產定位</t>
        </is>
      </c>
      <c r="C116" s="8" t="inlineStr">
        <is>
          <t>高風險區域進入通知，門檻該設多嚴</t>
        </is>
      </c>
      <c r="D116" s="7" t="inlineStr">
        <is>
          <t>工廠</t>
        </is>
      </c>
      <c r="E116" s="8" t="inlineStr">
        <is>
          <t>方法</t>
        </is>
      </c>
      <c r="F116" s="8" t="inlineStr">
        <is>
          <t>LinkedIn</t>
        </is>
      </c>
      <c r="G116" s="7" t="inlineStr">
        <is>
          <t>L2</t>
        </is>
      </c>
      <c r="H116" s="7" t="inlineStr">
        <is>
          <t>P3</t>
        </is>
      </c>
    </row>
    <row r="117">
      <c r="A117" s="10" t="inlineStr">
        <is>
          <t>A6-06</t>
        </is>
      </c>
      <c r="B117" s="10" t="inlineStr">
        <is>
          <t>A6 工廠工安與人員資產定位</t>
        </is>
      </c>
      <c r="C117" s="11" t="inlineStr">
        <is>
          <t>人員定位 ≠ 監控：導入阻力最大的那一關</t>
        </is>
      </c>
      <c r="D117" s="10" t="inlineStr">
        <is>
          <t>工廠／公共</t>
        </is>
      </c>
      <c r="E117" s="11" t="inlineStr">
        <is>
          <t>觀念</t>
        </is>
      </c>
      <c r="F117" s="11" t="inlineStr">
        <is>
          <t>LinkedIn／Dcard</t>
        </is>
      </c>
      <c r="G117" s="10" t="inlineStr">
        <is>
          <t>L1</t>
        </is>
      </c>
      <c r="H117" s="9" t="inlineStr">
        <is>
          <t>P1</t>
        </is>
      </c>
    </row>
    <row r="118">
      <c r="A118" s="7" t="inlineStr">
        <is>
          <t>A6-07</t>
        </is>
      </c>
      <c r="B118" s="7" t="inlineStr">
        <is>
          <t>A6 工廠工安與人員資產定位</t>
        </is>
      </c>
      <c r="C118" s="8" t="inlineStr">
        <is>
          <t>用「去識別化群體統計」導入，阻力會小很多</t>
        </is>
      </c>
      <c r="D118" s="7" t="inlineStr">
        <is>
          <t>工廠</t>
        </is>
      </c>
      <c r="E118" s="8" t="inlineStr">
        <is>
          <t>方法</t>
        </is>
      </c>
      <c r="F118" s="8" t="inlineStr">
        <is>
          <t>產業媒體</t>
        </is>
      </c>
      <c r="G118" s="7" t="inlineStr">
        <is>
          <t>L2</t>
        </is>
      </c>
      <c r="H118" s="7" t="inlineStr">
        <is>
          <t>P2</t>
        </is>
      </c>
    </row>
    <row r="119">
      <c r="A119" s="10" t="inlineStr">
        <is>
          <t>A6-08</t>
        </is>
      </c>
      <c r="B119" s="10" t="inlineStr">
        <is>
          <t>A6 工廠工安與人員資產定位</t>
        </is>
      </c>
      <c r="C119" s="11" t="inlineStr">
        <is>
          <t>職安相關紀錄留存，定位資料算不算證據</t>
        </is>
      </c>
      <c r="D119" s="10" t="inlineStr">
        <is>
          <t>工廠</t>
        </is>
      </c>
      <c r="E119" s="11" t="inlineStr">
        <is>
          <t>合規</t>
        </is>
      </c>
      <c r="F119" s="11" t="inlineStr">
        <is>
          <t>產業媒體</t>
        </is>
      </c>
      <c r="G119" s="10" t="inlineStr">
        <is>
          <t>L1</t>
        </is>
      </c>
      <c r="H119" s="10" t="inlineStr">
        <is>
          <t>P2</t>
        </is>
      </c>
    </row>
    <row r="120">
      <c r="A120" s="7" t="inlineStr">
        <is>
          <t>A6-09</t>
        </is>
      </c>
      <c r="B120" s="7" t="inlineStr">
        <is>
          <t>A6 工廠工安與人員資產定位</t>
        </is>
      </c>
      <c r="C120" s="8" t="inlineStr">
        <is>
          <t>金屬環境、貨架、隔間對訊號的實際影響</t>
        </is>
      </c>
      <c r="D120" s="7" t="inlineStr">
        <is>
          <t>工廠／3C</t>
        </is>
      </c>
      <c r="E120" s="8" t="inlineStr">
        <is>
          <t>技術</t>
        </is>
      </c>
      <c r="F120" s="8" t="inlineStr">
        <is>
          <t>Mobile01／產業媒體</t>
        </is>
      </c>
      <c r="G120" s="7" t="inlineStr">
        <is>
          <t>L2</t>
        </is>
      </c>
      <c r="H120" s="7" t="inlineStr">
        <is>
          <t>P2</t>
        </is>
      </c>
    </row>
    <row r="121">
      <c r="A121" s="10" t="inlineStr">
        <is>
          <t>A6-10</t>
        </is>
      </c>
      <c r="B121" s="10" t="inlineStr">
        <is>
          <t>A6 工廠工安與人員資產定位</t>
        </is>
      </c>
      <c r="C121" s="11" t="inlineStr">
        <is>
          <t>Wi-Fi／BLE／UWB／RFID 在工廠怎麼選（一張表）</t>
        </is>
      </c>
      <c r="D121" s="10" t="inlineStr">
        <is>
          <t>工廠／3C</t>
        </is>
      </c>
      <c r="E121" s="11" t="inlineStr">
        <is>
          <t>選型</t>
        </is>
      </c>
      <c r="F121" s="11" t="inlineStr">
        <is>
          <t>LinkedIn</t>
        </is>
      </c>
      <c r="G121" s="10" t="inlineStr">
        <is>
          <t>L2</t>
        </is>
      </c>
      <c r="H121" s="9" t="inlineStr">
        <is>
          <t>P1</t>
        </is>
      </c>
    </row>
    <row r="122">
      <c r="A122" s="7" t="inlineStr">
        <is>
          <t>A6-11</t>
        </is>
      </c>
      <c r="B122" s="7" t="inlineStr">
        <is>
          <t>A6 工廠工安與人員資產定位</t>
        </is>
      </c>
      <c r="C122" s="8" t="inlineStr">
        <is>
          <t>為什麼建議「先做一個區域」再擴大</t>
        </is>
      </c>
      <c r="D122" s="7" t="inlineStr">
        <is>
          <t>工廠</t>
        </is>
      </c>
      <c r="E122" s="8" t="inlineStr">
        <is>
          <t>導入法</t>
        </is>
      </c>
      <c r="F122" s="8" t="inlineStr">
        <is>
          <t>LinkedIn</t>
        </is>
      </c>
      <c r="G122" s="7" t="inlineStr">
        <is>
          <t>L3</t>
        </is>
      </c>
      <c r="H122" s="7" t="inlineStr">
        <is>
          <t>P2</t>
        </is>
      </c>
    </row>
    <row r="123">
      <c r="A123" s="10" t="inlineStr">
        <is>
          <t>A6-12</t>
        </is>
      </c>
      <c r="B123" s="10" t="inlineStr">
        <is>
          <t>A6 工廠工安與人員資產定位</t>
        </is>
      </c>
      <c r="C123" s="11" t="inlineStr">
        <is>
          <t>定位資料怎麼餵進 MES／ERP／SCADA</t>
        </is>
      </c>
      <c r="D123" s="10" t="inlineStr">
        <is>
          <t>工廠</t>
        </is>
      </c>
      <c r="E123" s="11" t="inlineStr">
        <is>
          <t>整合</t>
        </is>
      </c>
      <c r="F123" s="11" t="inlineStr">
        <is>
          <t>技術部落格</t>
        </is>
      </c>
      <c r="G123" s="10" t="inlineStr">
        <is>
          <t>L2</t>
        </is>
      </c>
      <c r="H123" s="10" t="inlineStr">
        <is>
          <t>P2</t>
        </is>
      </c>
    </row>
    <row r="124">
      <c r="A124" s="7" t="inlineStr">
        <is>
          <t>A6-13</t>
        </is>
      </c>
      <c r="B124" s="7" t="inlineStr">
        <is>
          <t>A6 工廠工安與人員資產定位</t>
        </is>
      </c>
      <c r="C124" s="8" t="inlineStr">
        <is>
          <t>堆高機與行人動線衝突的防撞設計</t>
        </is>
      </c>
      <c r="D124" s="7" t="inlineStr">
        <is>
          <t>工廠</t>
        </is>
      </c>
      <c r="E124" s="8" t="inlineStr">
        <is>
          <t>場景</t>
        </is>
      </c>
      <c r="F124" s="8" t="inlineStr">
        <is>
          <t>產業媒體</t>
        </is>
      </c>
      <c r="G124" s="7" t="inlineStr">
        <is>
          <t>L1</t>
        </is>
      </c>
      <c r="H124" s="7" t="inlineStr">
        <is>
          <t>P3</t>
        </is>
      </c>
    </row>
    <row r="125">
      <c r="A125" s="10" t="inlineStr">
        <is>
          <t>A6-14</t>
        </is>
      </c>
      <c r="B125" s="10" t="inlineStr">
        <is>
          <t>A6 工廠工安與人員資產定位</t>
        </is>
      </c>
      <c r="C125" s="11" t="inlineStr">
        <is>
          <t>熱像預知保養：配電盤過熱在停機前就被抓到</t>
        </is>
      </c>
      <c r="D125" s="10" t="inlineStr">
        <is>
          <t>工廠</t>
        </is>
      </c>
      <c r="E125" s="11" t="inlineStr">
        <is>
          <t>場景</t>
        </is>
      </c>
      <c r="F125" s="11" t="inlineStr">
        <is>
          <t>LinkedIn</t>
        </is>
      </c>
      <c r="G125" s="10" t="inlineStr">
        <is>
          <t>L3</t>
        </is>
      </c>
      <c r="H125" s="10" t="inlineStr">
        <is>
          <t>P2</t>
        </is>
      </c>
    </row>
    <row r="126">
      <c r="A126" s="7" t="inlineStr">
        <is>
          <t>A6-15</t>
        </is>
      </c>
      <c r="B126" s="7" t="inlineStr">
        <is>
          <t>A6 工廠工安與人員資產定位</t>
        </is>
      </c>
      <c r="C126" s="8" t="inlineStr">
        <is>
          <t>能耗、環境與人員一起看的戰情中心</t>
        </is>
      </c>
      <c r="D126" s="7" t="inlineStr">
        <is>
          <t>工廠</t>
        </is>
      </c>
      <c r="E126" s="8" t="inlineStr">
        <is>
          <t>願景</t>
        </is>
      </c>
      <c r="F126" s="8" t="inlineStr">
        <is>
          <t>產業媒體</t>
        </is>
      </c>
      <c r="G126" s="7" t="inlineStr">
        <is>
          <t>L3</t>
        </is>
      </c>
      <c r="H126" s="7" t="inlineStr">
        <is>
          <t>P3</t>
        </is>
      </c>
    </row>
    <row r="127">
      <c r="A127" s="10" t="inlineStr">
        <is>
          <t>A6-16</t>
        </is>
      </c>
      <c r="B127" s="10" t="inlineStr">
        <is>
          <t>A6 工廠工安與人員資產定位</t>
        </is>
      </c>
      <c r="C127" s="11" t="inlineStr">
        <is>
          <t>標籤要貼在哪裡才讀得到（金屬面的坑）</t>
        </is>
      </c>
      <c r="D127" s="10" t="inlineStr">
        <is>
          <t>工廠</t>
        </is>
      </c>
      <c r="E127" s="11" t="inlineStr">
        <is>
          <t>實務</t>
        </is>
      </c>
      <c r="F127" s="11" t="inlineStr">
        <is>
          <t>技術部落格</t>
        </is>
      </c>
      <c r="G127" s="10" t="inlineStr">
        <is>
          <t>L2</t>
        </is>
      </c>
      <c r="H127" s="10" t="inlineStr">
        <is>
          <t>P2</t>
        </is>
      </c>
    </row>
    <row r="128">
      <c r="A128" s="7" t="inlineStr">
        <is>
          <t>A6-17</t>
        </is>
      </c>
      <c r="B128" s="7" t="inlineStr">
        <is>
          <t>A6 工廠工安與人員資產定位</t>
        </is>
      </c>
      <c r="C128" s="8" t="inlineStr">
        <is>
          <t>標籤電池與維運成本：三年總成本怎麼估</t>
        </is>
      </c>
      <c r="D128" s="7" t="inlineStr">
        <is>
          <t>工廠</t>
        </is>
      </c>
      <c r="E128" s="8" t="inlineStr">
        <is>
          <t>試算</t>
        </is>
      </c>
      <c r="F128" s="8" t="inlineStr">
        <is>
          <t>LinkedIn</t>
        </is>
      </c>
      <c r="G128" s="7" t="inlineStr">
        <is>
          <t>L2</t>
        </is>
      </c>
      <c r="H128" s="7" t="inlineStr">
        <is>
          <t>P2</t>
        </is>
      </c>
    </row>
    <row r="129">
      <c r="A129" s="10" t="inlineStr">
        <is>
          <t>A6-18</t>
        </is>
      </c>
      <c r="B129" s="10" t="inlineStr">
        <is>
          <t>A6 工廠工安與人員資產定位</t>
        </is>
      </c>
      <c r="C129" s="11" t="inlineStr">
        <is>
          <t>定位資料能不能拿來當績效考核？（倫理紅線）</t>
        </is>
      </c>
      <c r="D129" s="10" t="inlineStr">
        <is>
          <t>工廠／公共</t>
        </is>
      </c>
      <c r="E129" s="11" t="inlineStr">
        <is>
          <t>議題</t>
        </is>
      </c>
      <c r="F129" s="11" t="inlineStr">
        <is>
          <t>LinkedIn／Dcard</t>
        </is>
      </c>
      <c r="G129" s="10" t="inlineStr">
        <is>
          <t>L0</t>
        </is>
      </c>
      <c r="H129" s="10" t="inlineStr">
        <is>
          <t>P2</t>
        </is>
      </c>
    </row>
    <row r="130">
      <c r="A130" s="7" t="inlineStr">
        <is>
          <t>A6-19</t>
        </is>
      </c>
      <c r="B130" s="7" t="inlineStr">
        <is>
          <t>A6 工廠工安與人員資產定位</t>
        </is>
      </c>
      <c r="C130" s="8" t="inlineStr">
        <is>
          <t>廠區擴建、產線調整時，系統擴充性要怎麼看</t>
        </is>
      </c>
      <c r="D130" s="7" t="inlineStr">
        <is>
          <t>工廠</t>
        </is>
      </c>
      <c r="E130" s="8" t="inlineStr">
        <is>
          <t>選型</t>
        </is>
      </c>
      <c r="F130" s="8" t="inlineStr">
        <is>
          <t>產業媒體</t>
        </is>
      </c>
      <c r="G130" s="7" t="inlineStr">
        <is>
          <t>L2</t>
        </is>
      </c>
      <c r="H130" s="7" t="inlineStr">
        <is>
          <t>P3</t>
        </is>
      </c>
    </row>
    <row r="131">
      <c r="A131" s="10" t="inlineStr">
        <is>
          <t>A6-20</t>
        </is>
      </c>
      <c r="B131" s="10" t="inlineStr">
        <is>
          <t>A6 工廠工安與人員資產定位</t>
        </is>
      </c>
      <c r="C131" s="11" t="inlineStr">
        <is>
          <t>場勘要準備哪 6 樣東西（平面圖、網路、遮蔽…）</t>
        </is>
      </c>
      <c r="D131" s="10" t="inlineStr">
        <is>
          <t>工廠</t>
        </is>
      </c>
      <c r="E131" s="11" t="inlineStr">
        <is>
          <t>工具</t>
        </is>
      </c>
      <c r="F131" s="11" t="inlineStr">
        <is>
          <t>LinkedIn</t>
        </is>
      </c>
      <c r="G131" s="10" t="inlineStr">
        <is>
          <t>L3</t>
        </is>
      </c>
      <c r="H131" s="9" t="inlineStr">
        <is>
          <t>P1</t>
        </is>
      </c>
    </row>
    <row r="132">
      <c r="A132" s="7" t="inlineStr">
        <is>
          <t>A6-21</t>
        </is>
      </c>
      <c r="B132" s="7" t="inlineStr">
        <is>
          <t>A6 工廠工安與人員資產定位</t>
        </is>
      </c>
      <c r="C132" s="8" t="inlineStr">
        <is>
          <t>移動中定位：車載與員工手機作為接收器的取捨</t>
        </is>
      </c>
      <c r="D132" s="7" t="inlineStr">
        <is>
          <t>工廠／機構</t>
        </is>
      </c>
      <c r="E132" s="8" t="inlineStr">
        <is>
          <t>技術選型</t>
        </is>
      </c>
      <c r="F132" s="8" t="inlineStr">
        <is>
          <t>技術部落格</t>
        </is>
      </c>
      <c r="G132" s="7" t="inlineStr">
        <is>
          <t>L2</t>
        </is>
      </c>
      <c r="H132" s="9" t="inlineStr">
        <is>
          <t>P1</t>
        </is>
      </c>
    </row>
    <row r="133">
      <c r="A133" s="10" t="inlineStr">
        <is>
          <t>A6-22</t>
        </is>
      </c>
      <c r="B133" s="10" t="inlineStr">
        <is>
          <t>A6 工廠工安與人員資產定位</t>
        </is>
      </c>
      <c r="C133" s="11" t="inlineStr">
        <is>
          <t>看得到車，看不到人：長照接送的那個缺口</t>
        </is>
      </c>
      <c r="D133" s="10" t="inlineStr">
        <is>
          <t>機構／公共</t>
        </is>
      </c>
      <c r="E133" s="11" t="inlineStr">
        <is>
          <t>產業洞察</t>
        </is>
      </c>
      <c r="F133" s="11" t="inlineStr">
        <is>
          <t>產業媒體</t>
        </is>
      </c>
      <c r="G133" s="10" t="inlineStr">
        <is>
          <t>L1</t>
        </is>
      </c>
      <c r="H133" s="9" t="inlineStr">
        <is>
          <t>P1</t>
        </is>
      </c>
    </row>
    <row r="134">
      <c r="A134" s="7" t="inlineStr">
        <is>
          <t>A6-23</t>
        </is>
      </c>
      <c r="B134" s="7" t="inlineStr">
        <is>
          <t>A6 工廠工安與人員資產定位</t>
        </is>
      </c>
      <c r="C134" s="8" t="inlineStr">
        <is>
          <t>司機來不及按 APP，補助就飛了</t>
        </is>
      </c>
      <c r="D134" s="7" t="inlineStr">
        <is>
          <t>機構</t>
        </is>
      </c>
      <c r="E134" s="8" t="inlineStr">
        <is>
          <t>具體痛點</t>
        </is>
      </c>
      <c r="F134" s="8" t="inlineStr">
        <is>
          <t>產業媒體</t>
        </is>
      </c>
      <c r="G134" s="7" t="inlineStr">
        <is>
          <t>L1</t>
        </is>
      </c>
      <c r="H134" s="9" t="inlineStr">
        <is>
          <t>P1</t>
        </is>
      </c>
    </row>
    <row r="135">
      <c r="A135" s="10" t="inlineStr">
        <is>
          <t>A6-24</t>
        </is>
      </c>
      <c r="B135" s="10" t="inlineStr">
        <is>
          <t>A6 工廠工安與人員資產定位</t>
        </is>
      </c>
      <c r="C135" s="11" t="inlineStr">
        <is>
          <t>上下車自動紀錄：從校車考勤學來的一件事</t>
        </is>
      </c>
      <c r="D135" s="10" t="inlineStr">
        <is>
          <t>機構</t>
        </is>
      </c>
      <c r="E135" s="11" t="inlineStr">
        <is>
          <t>跨產業類比</t>
        </is>
      </c>
      <c r="F135" s="11" t="inlineStr">
        <is>
          <t>產業媒體</t>
        </is>
      </c>
      <c r="G135" s="10" t="inlineStr">
        <is>
          <t>L2</t>
        </is>
      </c>
      <c r="H135" s="9" t="inlineStr">
        <is>
          <t>P1</t>
        </is>
      </c>
    </row>
    <row r="136">
      <c r="A136" s="7" t="inlineStr">
        <is>
          <t>A6-25</t>
        </is>
      </c>
      <c r="B136" s="7" t="inlineStr">
        <is>
          <t>A6 工廠工安與人員資產定位</t>
        </is>
      </c>
      <c r="C136" s="8" t="inlineStr">
        <is>
          <t>車載閘道器的三個老問題（供電、耐震、網路）現在怎麼解</t>
        </is>
      </c>
      <c r="D136" s="7" t="inlineStr">
        <is>
          <t>工廠／物流</t>
        </is>
      </c>
      <c r="E136" s="8" t="inlineStr">
        <is>
          <t>技術誠實</t>
        </is>
      </c>
      <c r="F136" s="8" t="inlineStr">
        <is>
          <t>技術部落格</t>
        </is>
      </c>
      <c r="G136" s="7" t="inlineStr">
        <is>
          <t>L2</t>
        </is>
      </c>
      <c r="H136" s="9" t="inlineStr">
        <is>
          <t>P1</t>
        </is>
      </c>
    </row>
    <row r="137">
      <c r="A137" s="10" t="inlineStr">
        <is>
          <t>A6-26</t>
        </is>
      </c>
      <c r="B137" s="10" t="inlineStr">
        <is>
          <t>A6 工廠工安與人員資產定位</t>
        </is>
      </c>
      <c r="C137" s="11" t="inlineStr">
        <is>
          <t>斷網了怎麼辦：隧道與偏遠路段的資料快取</t>
        </is>
      </c>
      <c r="D137" s="10" t="inlineStr">
        <is>
          <t>物流／3C</t>
        </is>
      </c>
      <c r="E137" s="11" t="inlineStr">
        <is>
          <t>技術科普</t>
        </is>
      </c>
      <c r="F137" s="11" t="inlineStr">
        <is>
          <t>技術部落格</t>
        </is>
      </c>
      <c r="G137" s="10" t="inlineStr">
        <is>
          <t>L2</t>
        </is>
      </c>
      <c r="H137" s="10" t="inlineStr">
        <is>
          <t>P2</t>
        </is>
      </c>
    </row>
    <row r="138">
      <c r="A138" s="7" t="inlineStr">
        <is>
          <t>A6-27</t>
        </is>
      </c>
      <c r="B138" s="7" t="inlineStr">
        <is>
          <t>A6 工廠工安與人員資產定位</t>
        </is>
      </c>
      <c r="C138" s="8" t="inlineStr">
        <is>
          <t>金屬車廂會擋住訊號嗎？</t>
        </is>
      </c>
      <c r="D138" s="7" t="inlineStr">
        <is>
          <t>物流／3C</t>
        </is>
      </c>
      <c r="E138" s="8" t="inlineStr">
        <is>
          <t>技術疑問</t>
        </is>
      </c>
      <c r="F138" s="8" t="inlineStr">
        <is>
          <t>Mobile01</t>
        </is>
      </c>
      <c r="G138" s="7" t="inlineStr">
        <is>
          <t>L2</t>
        </is>
      </c>
      <c r="H138" s="7" t="inlineStr">
        <is>
          <t>P2</t>
        </is>
      </c>
    </row>
    <row r="139">
      <c r="A139" s="10" t="inlineStr">
        <is>
          <t>A7-01</t>
        </is>
      </c>
      <c r="B139" s="10" t="inlineStr">
        <is>
          <t>A7 物流倉儲與冷鏈</t>
        </is>
      </c>
      <c r="C139" s="11" t="inlineStr">
        <is>
          <t>籠車去哪了：周轉具流失一年的真實金額</t>
        </is>
      </c>
      <c r="D139" s="10" t="inlineStr">
        <is>
          <t>物流</t>
        </is>
      </c>
      <c r="E139" s="11" t="inlineStr">
        <is>
          <t>試算</t>
        </is>
      </c>
      <c r="F139" s="11" t="inlineStr">
        <is>
          <t>LinkedIn／物流媒體</t>
        </is>
      </c>
      <c r="G139" s="10" t="inlineStr">
        <is>
          <t>L1</t>
        </is>
      </c>
      <c r="H139" s="9" t="inlineStr">
        <is>
          <t>P1</t>
        </is>
      </c>
    </row>
    <row r="140">
      <c r="A140" s="7" t="inlineStr">
        <is>
          <t>A7-02</t>
        </is>
      </c>
      <c r="B140" s="7" t="inlineStr">
        <is>
          <t>A7 物流倉儲與冷鏈</t>
        </is>
      </c>
      <c r="C140" s="8" t="inlineStr">
        <is>
          <t>棧板一直重買，其實是「找不到」不是「不見」</t>
        </is>
      </c>
      <c r="D140" s="7" t="inlineStr">
        <is>
          <t>物流</t>
        </is>
      </c>
      <c r="E140" s="8" t="inlineStr">
        <is>
          <t>洞察</t>
        </is>
      </c>
      <c r="F140" s="8" t="inlineStr">
        <is>
          <t>物流媒體</t>
        </is>
      </c>
      <c r="G140" s="7" t="inlineStr">
        <is>
          <t>L1</t>
        </is>
      </c>
      <c r="H140" s="9" t="inlineStr">
        <is>
          <t>P1</t>
        </is>
      </c>
    </row>
    <row r="141">
      <c r="A141" s="10" t="inlineStr">
        <is>
          <t>A7-03</t>
        </is>
      </c>
      <c r="B141" s="10" t="inlineStr">
        <is>
          <t>A7 物流倉儲與冷鏈</t>
        </is>
      </c>
      <c r="C141" s="11" t="inlineStr">
        <is>
          <t>滯留時間數據該怎麼用才有價值</t>
        </is>
      </c>
      <c r="D141" s="10" t="inlineStr">
        <is>
          <t>物流</t>
        </is>
      </c>
      <c r="E141" s="11" t="inlineStr">
        <is>
          <t>方法</t>
        </is>
      </c>
      <c r="F141" s="11" t="inlineStr">
        <is>
          <t>LinkedIn</t>
        </is>
      </c>
      <c r="G141" s="10" t="inlineStr">
        <is>
          <t>L2</t>
        </is>
      </c>
      <c r="H141" s="10" t="inlineStr">
        <is>
          <t>P2</t>
        </is>
      </c>
    </row>
    <row r="142">
      <c r="A142" s="7" t="inlineStr">
        <is>
          <t>A7-04</t>
        </is>
      </c>
      <c r="B142" s="7" t="inlineStr">
        <is>
          <t>A7 物流倉儲與冷鏈</t>
        </is>
      </c>
      <c r="C142" s="8" t="inlineStr">
        <is>
          <t>盤點從三小時到二十分鐘，中間換掉了什麼</t>
        </is>
      </c>
      <c r="D142" s="7" t="inlineStr">
        <is>
          <t>物流</t>
        </is>
      </c>
      <c r="E142" s="8" t="inlineStr">
        <is>
          <t>場景</t>
        </is>
      </c>
      <c r="F142" s="8" t="inlineStr">
        <is>
          <t>物流媒體</t>
        </is>
      </c>
      <c r="G142" s="7" t="inlineStr">
        <is>
          <t>L2</t>
        </is>
      </c>
      <c r="H142" s="9" t="inlineStr">
        <is>
          <t>P1</t>
        </is>
      </c>
    </row>
    <row r="143">
      <c r="A143" s="10" t="inlineStr">
        <is>
          <t>A7-05</t>
        </is>
      </c>
      <c r="B143" s="10" t="inlineStr">
        <is>
          <t>A7 物流倉儲與冷鏈</t>
        </is>
      </c>
      <c r="C143" s="11" t="inlineStr">
        <is>
          <t>冷鏈失溫一次的賠償與拒收成本</t>
        </is>
      </c>
      <c r="D143" s="10" t="inlineStr">
        <is>
          <t>物流</t>
        </is>
      </c>
      <c r="E143" s="11" t="inlineStr">
        <is>
          <t>試算</t>
        </is>
      </c>
      <c r="F143" s="11" t="inlineStr">
        <is>
          <t>物流媒體</t>
        </is>
      </c>
      <c r="G143" s="10" t="inlineStr">
        <is>
          <t>L1</t>
        </is>
      </c>
      <c r="H143" s="9" t="inlineStr">
        <is>
          <t>P1</t>
        </is>
      </c>
    </row>
    <row r="144">
      <c r="A144" s="7" t="inlineStr">
        <is>
          <t>A7-06</t>
        </is>
      </c>
      <c r="B144" s="7" t="inlineStr">
        <is>
          <t>A7 物流倉儲與冷鏈</t>
        </is>
      </c>
      <c r="C144" s="8" t="inlineStr">
        <is>
          <t>客戶說失溫，你拿得出紀錄嗎</t>
        </is>
      </c>
      <c r="D144" s="7" t="inlineStr">
        <is>
          <t>物流</t>
        </is>
      </c>
      <c r="E144" s="8" t="inlineStr">
        <is>
          <t>痛點</t>
        </is>
      </c>
      <c r="F144" s="8" t="inlineStr">
        <is>
          <t>LinkedIn</t>
        </is>
      </c>
      <c r="G144" s="7" t="inlineStr">
        <is>
          <t>L2</t>
        </is>
      </c>
      <c r="H144" s="9" t="inlineStr">
        <is>
          <t>P1</t>
        </is>
      </c>
    </row>
    <row r="145">
      <c r="A145" s="10" t="inlineStr">
        <is>
          <t>A7-07</t>
        </is>
      </c>
      <c r="B145" s="10" t="inlineStr">
        <is>
          <t>A7 物流倉儲與冷鏈</t>
        </is>
      </c>
      <c r="C145" s="11" t="inlineStr">
        <is>
          <t>位置與溫度放在同一條時間軸，差別在哪</t>
        </is>
      </c>
      <c r="D145" s="10" t="inlineStr">
        <is>
          <t>物流</t>
        </is>
      </c>
      <c r="E145" s="11" t="inlineStr">
        <is>
          <t>方法</t>
        </is>
      </c>
      <c r="F145" s="11" t="inlineStr">
        <is>
          <t>物流媒體</t>
        </is>
      </c>
      <c r="G145" s="10" t="inlineStr">
        <is>
          <t>L3</t>
        </is>
      </c>
      <c r="H145" s="10" t="inlineStr">
        <is>
          <t>P2</t>
        </is>
      </c>
    </row>
    <row r="146">
      <c r="A146" s="7" t="inlineStr">
        <is>
          <t>A7-08</t>
        </is>
      </c>
      <c r="B146" s="7" t="inlineStr">
        <is>
          <t>A7 物流倉儲與冷鏈</t>
        </is>
      </c>
      <c r="C146" s="8" t="inlineStr">
        <is>
          <t>藥品 GDP 對運輸溫控的要求，白話版</t>
        </is>
      </c>
      <c r="D146" s="7" t="inlineStr">
        <is>
          <t>物流／醫院</t>
        </is>
      </c>
      <c r="E146" s="8" t="inlineStr">
        <is>
          <t>法規</t>
        </is>
      </c>
      <c r="F146" s="8" t="inlineStr">
        <is>
          <t>部落格</t>
        </is>
      </c>
      <c r="G146" s="7" t="inlineStr">
        <is>
          <t>L1</t>
        </is>
      </c>
      <c r="H146" s="9" t="inlineStr">
        <is>
          <t>P1</t>
        </is>
      </c>
    </row>
    <row r="147">
      <c r="A147" s="10" t="inlineStr">
        <is>
          <t>A7-09</t>
        </is>
      </c>
      <c r="B147" s="10" t="inlineStr">
        <is>
          <t>A7 物流倉儲與冷鏈</t>
        </is>
      </c>
      <c r="C147" s="11" t="inlineStr">
        <is>
          <t>疫苗 2–8°C：data logger、高低溫度計與每日兩次查核</t>
        </is>
      </c>
      <c r="D147" s="10" t="inlineStr">
        <is>
          <t>醫院／物流</t>
        </is>
      </c>
      <c r="E147" s="11" t="inlineStr">
        <is>
          <t>法規</t>
        </is>
      </c>
      <c r="F147" s="11" t="inlineStr">
        <is>
          <t>部落格</t>
        </is>
      </c>
      <c r="G147" s="10" t="inlineStr">
        <is>
          <t>L1</t>
        </is>
      </c>
      <c r="H147" s="10" t="inlineStr">
        <is>
          <t>P2</t>
        </is>
      </c>
    </row>
    <row r="148">
      <c r="A148" s="7" t="inlineStr">
        <is>
          <t>A7-10</t>
        </is>
      </c>
      <c r="B148" s="7" t="inlineStr">
        <is>
          <t>A7 物流倉儲與冷鏈</t>
        </is>
      </c>
      <c r="C148" s="8" t="inlineStr">
        <is>
          <t>保冷箱確效 IQ/OQ/PQ 是什麼，為什麼稽核一定問</t>
        </is>
      </c>
      <c r="D148" s="7" t="inlineStr">
        <is>
          <t>物流</t>
        </is>
      </c>
      <c r="E148" s="8" t="inlineStr">
        <is>
          <t>法規</t>
        </is>
      </c>
      <c r="F148" s="8" t="inlineStr">
        <is>
          <t>物流媒體</t>
        </is>
      </c>
      <c r="G148" s="7" t="inlineStr">
        <is>
          <t>L1</t>
        </is>
      </c>
      <c r="H148" s="7" t="inlineStr">
        <is>
          <t>P2</t>
        </is>
      </c>
    </row>
    <row r="149">
      <c r="A149" s="10" t="inlineStr">
        <is>
          <t>A7-11</t>
        </is>
      </c>
      <c r="B149" s="10" t="inlineStr">
        <is>
          <t>A7 物流倉儲與冷鏈</t>
        </is>
      </c>
      <c r="C149" s="11" t="inlineStr">
        <is>
          <t>在途追蹤：車載接收器的取捨（供電、耐震、網路）</t>
        </is>
      </c>
      <c r="D149" s="10" t="inlineStr">
        <is>
          <t>物流</t>
        </is>
      </c>
      <c r="E149" s="11" t="inlineStr">
        <is>
          <t>技術</t>
        </is>
      </c>
      <c r="F149" s="11" t="inlineStr">
        <is>
          <t>物流媒體</t>
        </is>
      </c>
      <c r="G149" s="10" t="inlineStr">
        <is>
          <t>L2</t>
        </is>
      </c>
      <c r="H149" s="9" t="inlineStr">
        <is>
          <t>P1</t>
        </is>
      </c>
    </row>
    <row r="150">
      <c r="A150" s="7" t="inlineStr">
        <is>
          <t>A7-12</t>
        </is>
      </c>
      <c r="B150" s="7" t="inlineStr">
        <is>
          <t>A7 物流倉儲與冷鏈</t>
        </is>
      </c>
      <c r="C150" s="8" t="inlineStr">
        <is>
          <t>傳統 GPS 追蹤器 vs 標籤＋閘道：成本結構拆解</t>
        </is>
      </c>
      <c r="D150" s="7" t="inlineStr">
        <is>
          <t>物流／3C</t>
        </is>
      </c>
      <c r="E150" s="8" t="inlineStr">
        <is>
          <t>比較</t>
        </is>
      </c>
      <c r="F150" s="8" t="inlineStr">
        <is>
          <t>LinkedIn／Mobile01</t>
        </is>
      </c>
      <c r="G150" s="7" t="inlineStr">
        <is>
          <t>L2</t>
        </is>
      </c>
      <c r="H150" s="9" t="inlineStr">
        <is>
          <t>P1</t>
        </is>
      </c>
    </row>
    <row r="151">
      <c r="A151" s="10" t="inlineStr">
        <is>
          <t>A7-13</t>
        </is>
      </c>
      <c r="B151" s="10" t="inlineStr">
        <is>
          <t>A7 物流倉儲與冷鏈</t>
        </is>
      </c>
      <c r="C151" s="11" t="inlineStr">
        <is>
          <t>最後一哩與場站交接的資料斷點</t>
        </is>
      </c>
      <c r="D151" s="10" t="inlineStr">
        <is>
          <t>物流</t>
        </is>
      </c>
      <c r="E151" s="11" t="inlineStr">
        <is>
          <t>洞察</t>
        </is>
      </c>
      <c r="F151" s="11" t="inlineStr">
        <is>
          <t>物流媒體</t>
        </is>
      </c>
      <c r="G151" s="10" t="inlineStr">
        <is>
          <t>L2</t>
        </is>
      </c>
      <c r="H151" s="10" t="inlineStr">
        <is>
          <t>P2</t>
        </is>
      </c>
    </row>
    <row r="152">
      <c r="A152" s="7" t="inlineStr">
        <is>
          <t>A7-14</t>
        </is>
      </c>
      <c r="B152" s="7" t="inlineStr">
        <is>
          <t>A7 物流倉儲與冷鏈</t>
        </is>
      </c>
      <c r="C152" s="8" t="inlineStr">
        <is>
          <t>離島與偏遠配送的溫控風險與應對</t>
        </is>
      </c>
      <c r="D152" s="7" t="inlineStr">
        <is>
          <t>物流</t>
        </is>
      </c>
      <c r="E152" s="8" t="inlineStr">
        <is>
          <t>場景</t>
        </is>
      </c>
      <c r="F152" s="8" t="inlineStr">
        <is>
          <t>物流媒體</t>
        </is>
      </c>
      <c r="G152" s="7" t="inlineStr">
        <is>
          <t>L1</t>
        </is>
      </c>
      <c r="H152" s="7" t="inlineStr">
        <is>
          <t>P3</t>
        </is>
      </c>
    </row>
    <row r="153">
      <c r="A153" s="10" t="inlineStr">
        <is>
          <t>A7-15</t>
        </is>
      </c>
      <c r="B153" s="10" t="inlineStr">
        <is>
          <t>A7 物流倉儲與冷鏈</t>
        </is>
      </c>
      <c r="C153" s="11" t="inlineStr">
        <is>
          <t>夏天與冬天的包裝差異：預冷時間的坑</t>
        </is>
      </c>
      <c r="D153" s="10" t="inlineStr">
        <is>
          <t>物流</t>
        </is>
      </c>
      <c r="E153" s="11" t="inlineStr">
        <is>
          <t>實務</t>
        </is>
      </c>
      <c r="F153" s="11" t="inlineStr">
        <is>
          <t>物流媒體</t>
        </is>
      </c>
      <c r="G153" s="10" t="inlineStr">
        <is>
          <t>L1</t>
        </is>
      </c>
      <c r="H153" s="10" t="inlineStr">
        <is>
          <t>P3</t>
        </is>
      </c>
    </row>
    <row r="154">
      <c r="A154" s="7" t="inlineStr">
        <is>
          <t>A7-16</t>
        </is>
      </c>
      <c r="B154" s="7" t="inlineStr">
        <is>
          <t>A7 物流倉儲與冷鏈</t>
        </is>
      </c>
      <c r="C154" s="8" t="inlineStr">
        <is>
          <t>司機不想多做一個動作，系統就該做到零操作</t>
        </is>
      </c>
      <c r="D154" s="7" t="inlineStr">
        <is>
          <t>物流</t>
        </is>
      </c>
      <c r="E154" s="8" t="inlineStr">
        <is>
          <t>觀念</t>
        </is>
      </c>
      <c r="F154" s="8" t="inlineStr">
        <is>
          <t>LinkedIn</t>
        </is>
      </c>
      <c r="G154" s="7" t="inlineStr">
        <is>
          <t>L2</t>
        </is>
      </c>
      <c r="H154" s="9" t="inlineStr">
        <is>
          <t>P1</t>
        </is>
      </c>
    </row>
    <row r="155">
      <c r="A155" s="10" t="inlineStr">
        <is>
          <t>A7-17</t>
        </is>
      </c>
      <c r="B155" s="10" t="inlineStr">
        <is>
          <t>A7 物流倉儲與冷鏈</t>
        </is>
      </c>
      <c r="C155" s="11" t="inlineStr">
        <is>
          <t>客戶稽核會要哪些文件（清單版）</t>
        </is>
      </c>
      <c r="D155" s="10" t="inlineStr">
        <is>
          <t>物流</t>
        </is>
      </c>
      <c r="E155" s="11" t="inlineStr">
        <is>
          <t>工具</t>
        </is>
      </c>
      <c r="F155" s="11" t="inlineStr">
        <is>
          <t>物流媒體</t>
        </is>
      </c>
      <c r="G155" s="10" t="inlineStr">
        <is>
          <t>L1</t>
        </is>
      </c>
      <c r="H155" s="10" t="inlineStr">
        <is>
          <t>P2</t>
        </is>
      </c>
    </row>
    <row r="156">
      <c r="A156" s="7" t="inlineStr">
        <is>
          <t>A7-18</t>
        </is>
      </c>
      <c r="B156" s="7" t="inlineStr">
        <is>
          <t>A7 物流倉儲與冷鏈</t>
        </is>
      </c>
      <c r="C156" s="8" t="inlineStr">
        <is>
          <t>逆物流與周轉具回收率怎麼提升</t>
        </is>
      </c>
      <c r="D156" s="7" t="inlineStr">
        <is>
          <t>物流</t>
        </is>
      </c>
      <c r="E156" s="8" t="inlineStr">
        <is>
          <t>方法</t>
        </is>
      </c>
      <c r="F156" s="8" t="inlineStr">
        <is>
          <t>物流媒體</t>
        </is>
      </c>
      <c r="G156" s="7" t="inlineStr">
        <is>
          <t>L2</t>
        </is>
      </c>
      <c r="H156" s="7" t="inlineStr">
        <is>
          <t>P3</t>
        </is>
      </c>
    </row>
    <row r="157">
      <c r="A157" s="10" t="inlineStr">
        <is>
          <t>A7-19</t>
        </is>
      </c>
      <c r="B157" s="10" t="inlineStr">
        <is>
          <t>A7 物流倉儲與冷鏈</t>
        </is>
      </c>
      <c r="C157" s="11" t="inlineStr">
        <is>
          <t>多溫層共配的溫度舉證難題</t>
        </is>
      </c>
      <c r="D157" s="10" t="inlineStr">
        <is>
          <t>物流</t>
        </is>
      </c>
      <c r="E157" s="11" t="inlineStr">
        <is>
          <t>場景</t>
        </is>
      </c>
      <c r="F157" s="11" t="inlineStr">
        <is>
          <t>物流媒體</t>
        </is>
      </c>
      <c r="G157" s="10" t="inlineStr">
        <is>
          <t>L2</t>
        </is>
      </c>
      <c r="H157" s="10" t="inlineStr">
        <is>
          <t>P3</t>
        </is>
      </c>
    </row>
    <row r="158">
      <c r="A158" s="7" t="inlineStr">
        <is>
          <t>A7-20</t>
        </is>
      </c>
      <c r="B158" s="7" t="inlineStr">
        <is>
          <t>A7 物流倉儲與冷鏈</t>
        </is>
      </c>
      <c r="C158" s="8" t="inlineStr">
        <is>
          <t>物流導入的分階段路線圖（場站先跑，在途後跟）</t>
        </is>
      </c>
      <c r="D158" s="7" t="inlineStr">
        <is>
          <t>物流</t>
        </is>
      </c>
      <c r="E158" s="8" t="inlineStr">
        <is>
          <t>導入法</t>
        </is>
      </c>
      <c r="F158" s="8" t="inlineStr">
        <is>
          <t>LinkedIn</t>
        </is>
      </c>
      <c r="G158" s="7" t="inlineStr">
        <is>
          <t>L3</t>
        </is>
      </c>
      <c r="H158" s="7" t="inlineStr">
        <is>
          <t>P2</t>
        </is>
      </c>
    </row>
    <row r="159">
      <c r="A159" s="10" t="inlineStr">
        <is>
          <t>A7-21</t>
        </is>
      </c>
      <c r="B159" s="10" t="inlineStr">
        <is>
          <t>A7 物流倉儲與冷鏈</t>
        </is>
      </c>
      <c r="C159" s="11" t="inlineStr">
        <is>
          <t>同一顆標籤，在冷鏈車上與在接送車上</t>
        </is>
      </c>
      <c r="D159" s="10" t="inlineStr">
        <is>
          <t>物流／機構</t>
        </is>
      </c>
      <c r="E159" s="11" t="inlineStr">
        <is>
          <t>跨場域延伸</t>
        </is>
      </c>
      <c r="F159" s="11" t="inlineStr">
        <is>
          <t>產業媒體</t>
        </is>
      </c>
      <c r="G159" s="10" t="inlineStr">
        <is>
          <t>L2</t>
        </is>
      </c>
      <c r="H159" s="10" t="inlineStr">
        <is>
          <t>P2</t>
        </is>
      </c>
    </row>
    <row r="160">
      <c r="A160" s="7" t="inlineStr">
        <is>
          <t>A8-01</t>
        </is>
      </c>
      <c r="B160" s="7" t="inlineStr">
        <is>
          <t>A8 醫院設備與病患安全</t>
        </is>
      </c>
      <c r="C160" s="8" t="inlineStr">
        <is>
          <t>找輸液幫浦，是護理師的隱形工時</t>
        </is>
      </c>
      <c r="D160" s="7" t="inlineStr">
        <is>
          <t>醫院</t>
        </is>
      </c>
      <c r="E160" s="8" t="inlineStr">
        <is>
          <t>痛點</t>
        </is>
      </c>
      <c r="F160" s="8" t="inlineStr">
        <is>
          <t>醫護社群</t>
        </is>
      </c>
      <c r="G160" s="7" t="inlineStr">
        <is>
          <t>L1</t>
        </is>
      </c>
      <c r="H160" s="9" t="inlineStr">
        <is>
          <t>P1</t>
        </is>
      </c>
    </row>
    <row r="161">
      <c r="A161" s="10" t="inlineStr">
        <is>
          <t>A8-02</t>
        </is>
      </c>
      <c r="B161" s="10" t="inlineStr">
        <is>
          <t>A8 醫院設備與病患安全</t>
        </is>
      </c>
      <c r="C161" s="11" t="inlineStr">
        <is>
          <t>輪椅與生理監視器的「共用池」為什麼永遠不夠</t>
        </is>
      </c>
      <c r="D161" s="10" t="inlineStr">
        <is>
          <t>醫院</t>
        </is>
      </c>
      <c r="E161" s="11" t="inlineStr">
        <is>
          <t>洞察</t>
        </is>
      </c>
      <c r="F161" s="11" t="inlineStr">
        <is>
          <t>醫護社群</t>
        </is>
      </c>
      <c r="G161" s="10" t="inlineStr">
        <is>
          <t>L1</t>
        </is>
      </c>
      <c r="H161" s="10" t="inlineStr">
        <is>
          <t>P2</t>
        </is>
      </c>
    </row>
    <row r="162">
      <c r="A162" s="7" t="inlineStr">
        <is>
          <t>A8-03</t>
        </is>
      </c>
      <c r="B162" s="7" t="inlineStr">
        <is>
          <t>A8 醫院設備與病患安全</t>
        </is>
      </c>
      <c r="C162" s="8" t="inlineStr">
        <is>
          <t>設備使用率分析，能省下多少採購</t>
        </is>
      </c>
      <c r="D162" s="7" t="inlineStr">
        <is>
          <t>醫院</t>
        </is>
      </c>
      <c r="E162" s="8" t="inlineStr">
        <is>
          <t>試算</t>
        </is>
      </c>
      <c r="F162" s="8" t="inlineStr">
        <is>
          <t>醫管媒體</t>
        </is>
      </c>
      <c r="G162" s="7" t="inlineStr">
        <is>
          <t>L2</t>
        </is>
      </c>
      <c r="H162" s="9" t="inlineStr">
        <is>
          <t>P1</t>
        </is>
      </c>
    </row>
    <row r="163">
      <c r="A163" s="10" t="inlineStr">
        <is>
          <t>A8-04</t>
        </is>
      </c>
      <c r="B163" s="10" t="inlineStr">
        <is>
          <t>A8 醫院設備與病患安全</t>
        </is>
      </c>
      <c r="C163" s="11" t="inlineStr">
        <is>
          <t>病患離區預警：接近出口先預警、跨越即通報</t>
        </is>
      </c>
      <c r="D163" s="10" t="inlineStr">
        <is>
          <t>醫院</t>
        </is>
      </c>
      <c r="E163" s="11" t="inlineStr">
        <is>
          <t>方法</t>
        </is>
      </c>
      <c r="F163" s="11" t="inlineStr">
        <is>
          <t>醫管媒體</t>
        </is>
      </c>
      <c r="G163" s="10" t="inlineStr">
        <is>
          <t>L2</t>
        </is>
      </c>
      <c r="H163" s="10" t="inlineStr">
        <is>
          <t>P2</t>
        </is>
      </c>
    </row>
    <row r="164">
      <c r="A164" s="7" t="inlineStr">
        <is>
          <t>A8-05</t>
        </is>
      </c>
      <c r="B164" s="7" t="inlineStr">
        <is>
          <t>A8 醫院設備與病患安全</t>
        </is>
      </c>
      <c r="C164" s="8" t="inlineStr">
        <is>
          <t>失智病房與精神科病房的圍籬設計差異</t>
        </is>
      </c>
      <c r="D164" s="7" t="inlineStr">
        <is>
          <t>醫院</t>
        </is>
      </c>
      <c r="E164" s="8" t="inlineStr">
        <is>
          <t>分眾</t>
        </is>
      </c>
      <c r="F164" s="8" t="inlineStr">
        <is>
          <t>醫管媒體</t>
        </is>
      </c>
      <c r="G164" s="7" t="inlineStr">
        <is>
          <t>L2</t>
        </is>
      </c>
      <c r="H164" s="7" t="inlineStr">
        <is>
          <t>P3</t>
        </is>
      </c>
    </row>
    <row r="165">
      <c r="A165" s="10" t="inlineStr">
        <is>
          <t>A8-06</t>
        </is>
      </c>
      <c r="B165" s="10" t="inlineStr">
        <is>
          <t>A8 醫院設備與病患安全</t>
        </is>
      </c>
      <c r="C165" s="11" t="inlineStr">
        <is>
          <t>急診走廊上的病床，醫師怎麼第一時間找到人</t>
        </is>
      </c>
      <c r="D165" s="10" t="inlineStr">
        <is>
          <t>醫院</t>
        </is>
      </c>
      <c r="E165" s="11" t="inlineStr">
        <is>
          <t>場景</t>
        </is>
      </c>
      <c r="F165" s="11" t="inlineStr">
        <is>
          <t>醫護社群</t>
        </is>
      </c>
      <c r="G165" s="10" t="inlineStr">
        <is>
          <t>L1</t>
        </is>
      </c>
      <c r="H165" s="10" t="inlineStr">
        <is>
          <t>P2</t>
        </is>
      </c>
    </row>
    <row r="166">
      <c r="A166" s="7" t="inlineStr">
        <is>
          <t>A8-07</t>
        </is>
      </c>
      <c r="B166" s="7" t="inlineStr">
        <is>
          <t>A8 醫院設備與病患安全</t>
        </is>
      </c>
      <c r="C166" s="8" t="inlineStr">
        <is>
          <t>健檢中心的「叫不到人」問題</t>
        </is>
      </c>
      <c r="D166" s="7" t="inlineStr">
        <is>
          <t>醫院</t>
        </is>
      </c>
      <c r="E166" s="8" t="inlineStr">
        <is>
          <t>場景</t>
        </is>
      </c>
      <c r="F166" s="8" t="inlineStr">
        <is>
          <t>醫管媒體</t>
        </is>
      </c>
      <c r="G166" s="7" t="inlineStr">
        <is>
          <t>L2</t>
        </is>
      </c>
      <c r="H166" s="7" t="inlineStr">
        <is>
          <t>P3</t>
        </is>
      </c>
    </row>
    <row r="167">
      <c r="A167" s="10" t="inlineStr">
        <is>
          <t>A8-08</t>
        </is>
      </c>
      <c r="B167" s="10" t="inlineStr">
        <is>
          <t>A8 醫院設備與病患安全</t>
        </is>
      </c>
      <c r="C167" s="11" t="inlineStr">
        <is>
          <t>血品與檢體的溫度追溯，斷在哪一段</t>
        </is>
      </c>
      <c r="D167" s="10" t="inlineStr">
        <is>
          <t>醫院</t>
        </is>
      </c>
      <c r="E167" s="11" t="inlineStr">
        <is>
          <t>痛點</t>
        </is>
      </c>
      <c r="F167" s="11" t="inlineStr">
        <is>
          <t>醫管媒體</t>
        </is>
      </c>
      <c r="G167" s="10" t="inlineStr">
        <is>
          <t>L2</t>
        </is>
      </c>
      <c r="H167" s="10" t="inlineStr">
        <is>
          <t>P2</t>
        </is>
      </c>
    </row>
    <row r="168">
      <c r="A168" s="7" t="inlineStr">
        <is>
          <t>A8-09</t>
        </is>
      </c>
      <c r="B168" s="7" t="inlineStr">
        <is>
          <t>A8 醫院設備與病患安全</t>
        </is>
      </c>
      <c r="C168" s="8" t="inlineStr">
        <is>
          <t>疫苗冰箱半夜跳溫，誰會知道</t>
        </is>
      </c>
      <c r="D168" s="7" t="inlineStr">
        <is>
          <t>醫院</t>
        </is>
      </c>
      <c r="E168" s="8" t="inlineStr">
        <is>
          <t>場景</t>
        </is>
      </c>
      <c r="F168" s="8" t="inlineStr">
        <is>
          <t>醫管媒體</t>
        </is>
      </c>
      <c r="G168" s="7" t="inlineStr">
        <is>
          <t>L2</t>
        </is>
      </c>
      <c r="H168" s="9" t="inlineStr">
        <is>
          <t>P1</t>
        </is>
      </c>
    </row>
    <row r="169">
      <c r="A169" s="10" t="inlineStr">
        <is>
          <t>A8-10</t>
        </is>
      </c>
      <c r="B169" s="10" t="inlineStr">
        <is>
          <t>A8 醫院設備與病患安全</t>
        </is>
      </c>
      <c r="C169" s="11" t="inlineStr">
        <is>
          <t>從藥局到病房：院內物流的全程追溯</t>
        </is>
      </c>
      <c r="D169" s="10" t="inlineStr">
        <is>
          <t>醫院</t>
        </is>
      </c>
      <c r="E169" s="11" t="inlineStr">
        <is>
          <t>方法</t>
        </is>
      </c>
      <c r="F169" s="11" t="inlineStr">
        <is>
          <t>醫管媒體</t>
        </is>
      </c>
      <c r="G169" s="10" t="inlineStr">
        <is>
          <t>L2</t>
        </is>
      </c>
      <c r="H169" s="10" t="inlineStr">
        <is>
          <t>P2</t>
        </is>
      </c>
    </row>
    <row r="170">
      <c r="A170" s="7" t="inlineStr">
        <is>
          <t>A8-11</t>
        </is>
      </c>
      <c r="B170" s="7" t="inlineStr">
        <is>
          <t>A8 醫院設備與病患安全</t>
        </is>
      </c>
      <c r="C170" s="8" t="inlineStr">
        <is>
          <t>救護車上的行動感測：院外那一段</t>
        </is>
      </c>
      <c r="D170" s="7" t="inlineStr">
        <is>
          <t>醫院</t>
        </is>
      </c>
      <c r="E170" s="8" t="inlineStr">
        <is>
          <t>延伸</t>
        </is>
      </c>
      <c r="F170" s="8" t="inlineStr">
        <is>
          <t>醫管媒體</t>
        </is>
      </c>
      <c r="G170" s="7" t="inlineStr">
        <is>
          <t>L2</t>
        </is>
      </c>
      <c r="H170" s="7" t="inlineStr">
        <is>
          <t>P3</t>
        </is>
      </c>
    </row>
    <row r="171">
      <c r="A171" s="10" t="inlineStr">
        <is>
          <t>A8-12</t>
        </is>
      </c>
      <c r="B171" s="10" t="inlineStr">
        <is>
          <t>A8 醫院設備與病患安全</t>
        </is>
      </c>
      <c r="C171" s="11" t="inlineStr">
        <is>
          <t>感染管制下的設備追蹤與清消紀錄</t>
        </is>
      </c>
      <c r="D171" s="10" t="inlineStr">
        <is>
          <t>醫院</t>
        </is>
      </c>
      <c r="E171" s="11" t="inlineStr">
        <is>
          <t>場景</t>
        </is>
      </c>
      <c r="F171" s="11" t="inlineStr">
        <is>
          <t>醫護社群</t>
        </is>
      </c>
      <c r="G171" s="10" t="inlineStr">
        <is>
          <t>L1</t>
        </is>
      </c>
      <c r="H171" s="10" t="inlineStr">
        <is>
          <t>P2</t>
        </is>
      </c>
    </row>
    <row r="172">
      <c r="A172" s="7" t="inlineStr">
        <is>
          <t>A8-13</t>
        </is>
      </c>
      <c r="B172" s="7" t="inlineStr">
        <is>
          <t>A8 醫院設備與病患安全</t>
        </is>
      </c>
      <c r="C172" s="8" t="inlineStr">
        <is>
          <t>告警要推播到護理站還是警衛平板？分流設計</t>
        </is>
      </c>
      <c r="D172" s="7" t="inlineStr">
        <is>
          <t>醫院</t>
        </is>
      </c>
      <c r="E172" s="8" t="inlineStr">
        <is>
          <t>方法</t>
        </is>
      </c>
      <c r="F172" s="8" t="inlineStr">
        <is>
          <t>醫管媒體</t>
        </is>
      </c>
      <c r="G172" s="7" t="inlineStr">
        <is>
          <t>L2</t>
        </is>
      </c>
      <c r="H172" s="7" t="inlineStr">
        <is>
          <t>P3</t>
        </is>
      </c>
    </row>
    <row r="173">
      <c r="A173" s="10" t="inlineStr">
        <is>
          <t>A8-14</t>
        </is>
      </c>
      <c r="B173" s="10" t="inlineStr">
        <is>
          <t>A8 醫院設備與病患安全</t>
        </is>
      </c>
      <c r="C173" s="11" t="inlineStr">
        <is>
          <t>醫院評鑑與事件回溯：歷程留痕的價值</t>
        </is>
      </c>
      <c r="D173" s="10" t="inlineStr">
        <is>
          <t>醫院</t>
        </is>
      </c>
      <c r="E173" s="11" t="inlineStr">
        <is>
          <t>合規</t>
        </is>
      </c>
      <c r="F173" s="11" t="inlineStr">
        <is>
          <t>醫管媒體</t>
        </is>
      </c>
      <c r="G173" s="10" t="inlineStr">
        <is>
          <t>L2</t>
        </is>
      </c>
      <c r="H173" s="9" t="inlineStr">
        <is>
          <t>P1</t>
        </is>
      </c>
    </row>
    <row r="174">
      <c r="A174" s="7" t="inlineStr">
        <is>
          <t>A8-15</t>
        </is>
      </c>
      <c r="B174" s="7" t="inlineStr">
        <is>
          <t>A8 醫院設備與病患安全</t>
        </is>
      </c>
      <c r="C174" s="8" t="inlineStr">
        <is>
          <t>院內定位的隱私界線：病患、家屬、員工三種尺度</t>
        </is>
      </c>
      <c r="D174" s="7" t="inlineStr">
        <is>
          <t>醫院／公共</t>
        </is>
      </c>
      <c r="E174" s="8" t="inlineStr">
        <is>
          <t>議題</t>
        </is>
      </c>
      <c r="F174" s="8" t="inlineStr">
        <is>
          <t>醫管媒體</t>
        </is>
      </c>
      <c r="G174" s="7" t="inlineStr">
        <is>
          <t>L1</t>
        </is>
      </c>
      <c r="H174" s="7" t="inlineStr">
        <is>
          <t>P2</t>
        </is>
      </c>
    </row>
    <row r="175">
      <c r="A175" s="10" t="inlineStr">
        <is>
          <t>A8-16</t>
        </is>
      </c>
      <c r="B175" s="10" t="inlineStr">
        <is>
          <t>A8 醫院設備與病患安全</t>
        </is>
      </c>
      <c r="C175" s="11" t="inlineStr">
        <is>
          <t>醫工室的保養排程能不能自動化</t>
        </is>
      </c>
      <c r="D175" s="10" t="inlineStr">
        <is>
          <t>醫院</t>
        </is>
      </c>
      <c r="E175" s="11" t="inlineStr">
        <is>
          <t>方法</t>
        </is>
      </c>
      <c r="F175" s="11" t="inlineStr">
        <is>
          <t>醫管媒體</t>
        </is>
      </c>
      <c r="G175" s="10" t="inlineStr">
        <is>
          <t>L2</t>
        </is>
      </c>
      <c r="H175" s="10" t="inlineStr">
        <is>
          <t>P3</t>
        </is>
      </c>
    </row>
    <row r="176">
      <c r="A176" s="7" t="inlineStr">
        <is>
          <t>A8-17</t>
        </is>
      </c>
      <c r="B176" s="7" t="inlineStr">
        <is>
          <t>A8 醫院設備與病患安全</t>
        </is>
      </c>
      <c r="C176" s="8" t="inlineStr">
        <is>
          <t>跨院區設備調度的可能性</t>
        </is>
      </c>
      <c r="D176" s="7" t="inlineStr">
        <is>
          <t>醫院</t>
        </is>
      </c>
      <c r="E176" s="8" t="inlineStr">
        <is>
          <t>願景</t>
        </is>
      </c>
      <c r="F176" s="8" t="inlineStr">
        <is>
          <t>醫管媒體</t>
        </is>
      </c>
      <c r="G176" s="7" t="inlineStr">
        <is>
          <t>L2</t>
        </is>
      </c>
      <c r="H176" s="7" t="inlineStr">
        <is>
          <t>P3</t>
        </is>
      </c>
    </row>
    <row r="177">
      <c r="A177" s="10" t="inlineStr">
        <is>
          <t>A8-18</t>
        </is>
      </c>
      <c r="B177" s="10" t="inlineStr">
        <is>
          <t>A8 醫院設備與病患安全</t>
        </is>
      </c>
      <c r="C177" s="11" t="inlineStr">
        <is>
          <t>為什麼醫院導入一定要先場勘與 PoC</t>
        </is>
      </c>
      <c r="D177" s="10" t="inlineStr">
        <is>
          <t>醫院</t>
        </is>
      </c>
      <c r="E177" s="11" t="inlineStr">
        <is>
          <t>誠實說明</t>
        </is>
      </c>
      <c r="F177" s="11" t="inlineStr">
        <is>
          <t>醫管媒體</t>
        </is>
      </c>
      <c r="G177" s="10" t="inlineStr">
        <is>
          <t>L3</t>
        </is>
      </c>
      <c r="H177" s="9" t="inlineStr">
        <is>
          <t>P1</t>
        </is>
      </c>
    </row>
    <row r="178">
      <c r="A178" s="7" t="inlineStr">
        <is>
          <t>A8-19</t>
        </is>
      </c>
      <c r="B178" s="7" t="inlineStr">
        <is>
          <t>A8 醫院設備與病患安全</t>
        </is>
      </c>
      <c r="C178" s="8" t="inlineStr">
        <is>
          <t>醫院無線環境的干擾與醫材共存問題</t>
        </is>
      </c>
      <c r="D178" s="7" t="inlineStr">
        <is>
          <t>醫院／3C</t>
        </is>
      </c>
      <c r="E178" s="8" t="inlineStr">
        <is>
          <t>技術</t>
        </is>
      </c>
      <c r="F178" s="8" t="inlineStr">
        <is>
          <t>技術部落格</t>
        </is>
      </c>
      <c r="G178" s="7" t="inlineStr">
        <is>
          <t>L2</t>
        </is>
      </c>
      <c r="H178" s="7" t="inlineStr">
        <is>
          <t>P2</t>
        </is>
      </c>
    </row>
    <row r="179">
      <c r="A179" s="10" t="inlineStr">
        <is>
          <t>A8-20</t>
        </is>
      </c>
      <c r="B179" s="10" t="inlineStr">
        <is>
          <t>A8 醫院設備與病患安全</t>
        </is>
      </c>
      <c r="C179" s="11" t="inlineStr">
        <is>
          <t>從一個科別開始的試點設計</t>
        </is>
      </c>
      <c r="D179" s="10" t="inlineStr">
        <is>
          <t>醫院</t>
        </is>
      </c>
      <c r="E179" s="11" t="inlineStr">
        <is>
          <t>導入法</t>
        </is>
      </c>
      <c r="F179" s="11" t="inlineStr">
        <is>
          <t>醫管媒體</t>
        </is>
      </c>
      <c r="G179" s="10" t="inlineStr">
        <is>
          <t>L3</t>
        </is>
      </c>
      <c r="H179" s="10" t="inlineStr">
        <is>
          <t>P2</t>
        </is>
      </c>
    </row>
    <row r="180">
      <c r="A180" s="7" t="inlineStr">
        <is>
          <t>A9-01</t>
        </is>
      </c>
      <c r="B180" s="7" t="inlineStr">
        <is>
          <t>A9 定位技術科普與選型</t>
        </is>
      </c>
      <c r="C180" s="8" t="inlineStr">
        <is>
          <t>什麼是 BLE 群眾網路定位？（跟 AirTag 像在哪、不像在哪）</t>
        </is>
      </c>
      <c r="D180" s="7" t="inlineStr">
        <is>
          <t>3C</t>
        </is>
      </c>
      <c r="E180" s="8" t="inlineStr">
        <is>
          <t>科普</t>
        </is>
      </c>
      <c r="F180" s="8" t="inlineStr">
        <is>
          <t>Mobile01／Threads</t>
        </is>
      </c>
      <c r="G180" s="7" t="inlineStr">
        <is>
          <t>L2</t>
        </is>
      </c>
      <c r="H180" s="9" t="inlineStr">
        <is>
          <t>P1</t>
        </is>
      </c>
    </row>
    <row r="181">
      <c r="A181" s="10" t="inlineStr">
        <is>
          <t>A9-02</t>
        </is>
      </c>
      <c r="B181" s="10" t="inlineStr">
        <is>
          <t>A9 定位技術科普與選型</t>
        </is>
      </c>
      <c r="C181" s="11" t="inlineStr">
        <is>
          <t>為什麼定位標籤可以不用 SIM 卡也不用上網</t>
        </is>
      </c>
      <c r="D181" s="10" t="inlineStr">
        <is>
          <t>3C</t>
        </is>
      </c>
      <c r="E181" s="11" t="inlineStr">
        <is>
          <t>科普</t>
        </is>
      </c>
      <c r="F181" s="11" t="inlineStr">
        <is>
          <t>Mobile01</t>
        </is>
      </c>
      <c r="G181" s="10" t="inlineStr">
        <is>
          <t>L1</t>
        </is>
      </c>
      <c r="H181" s="9" t="inlineStr">
        <is>
          <t>P1</t>
        </is>
      </c>
    </row>
    <row r="182">
      <c r="A182" s="7" t="inlineStr">
        <is>
          <t>A9-03</t>
        </is>
      </c>
      <c r="B182" s="7" t="inlineStr">
        <is>
          <t>A9 定位技術科普與選型</t>
        </is>
      </c>
      <c r="C182" s="8" t="inlineStr">
        <is>
          <t>藍牙訊號到底能傳多遠（室內 vs 空曠的實際差距）</t>
        </is>
      </c>
      <c r="D182" s="7" t="inlineStr">
        <is>
          <t>3C</t>
        </is>
      </c>
      <c r="E182" s="8" t="inlineStr">
        <is>
          <t>科普</t>
        </is>
      </c>
      <c r="F182" s="8" t="inlineStr">
        <is>
          <t>Mobile01</t>
        </is>
      </c>
      <c r="G182" s="7" t="inlineStr">
        <is>
          <t>L1</t>
        </is>
      </c>
      <c r="H182" s="7" t="inlineStr">
        <is>
          <t>P2</t>
        </is>
      </c>
    </row>
    <row r="183">
      <c r="A183" s="10" t="inlineStr">
        <is>
          <t>A9-04</t>
        </is>
      </c>
      <c r="B183" s="10" t="inlineStr">
        <is>
          <t>A9 定位技術科普與選型</t>
        </is>
      </c>
      <c r="C183" s="11" t="inlineStr">
        <is>
          <t>RSSI 訊號強度換算距離，誤差為什麼這麼大</t>
        </is>
      </c>
      <c r="D183" s="10" t="inlineStr">
        <is>
          <t>3C</t>
        </is>
      </c>
      <c r="E183" s="11" t="inlineStr">
        <is>
          <t>技術</t>
        </is>
      </c>
      <c r="F183" s="11" t="inlineStr">
        <is>
          <t>技術部落格</t>
        </is>
      </c>
      <c r="G183" s="10" t="inlineStr">
        <is>
          <t>L1</t>
        </is>
      </c>
      <c r="H183" s="10" t="inlineStr">
        <is>
          <t>P3</t>
        </is>
      </c>
    </row>
    <row r="184">
      <c r="A184" s="7" t="inlineStr">
        <is>
          <t>A9-05</t>
        </is>
      </c>
      <c r="B184" s="7" t="inlineStr">
        <is>
          <t>A9 定位技術科普與選型</t>
        </is>
      </c>
      <c r="C184" s="8" t="inlineStr">
        <is>
          <t>三角定位 vs 區域判讀：多數場景其實不需要公分級</t>
        </is>
      </c>
      <c r="D184" s="7" t="inlineStr">
        <is>
          <t>3C／工廠</t>
        </is>
      </c>
      <c r="E184" s="8" t="inlineStr">
        <is>
          <t>選型</t>
        </is>
      </c>
      <c r="F184" s="8" t="inlineStr">
        <is>
          <t>LinkedIn</t>
        </is>
      </c>
      <c r="G184" s="7" t="inlineStr">
        <is>
          <t>L2</t>
        </is>
      </c>
      <c r="H184" s="9" t="inlineStr">
        <is>
          <t>P1</t>
        </is>
      </c>
    </row>
    <row r="185">
      <c r="A185" s="10" t="inlineStr">
        <is>
          <t>A9-06</t>
        </is>
      </c>
      <c r="B185" s="10" t="inlineStr">
        <is>
          <t>A9 定位技術科普與選型</t>
        </is>
      </c>
      <c r="C185" s="11" t="inlineStr">
        <is>
          <t>UWB 為什麼能做到 10–30 公分</t>
        </is>
      </c>
      <c r="D185" s="10" t="inlineStr">
        <is>
          <t>3C</t>
        </is>
      </c>
      <c r="E185" s="11" t="inlineStr">
        <is>
          <t>科普</t>
        </is>
      </c>
      <c r="F185" s="11" t="inlineStr">
        <is>
          <t>Mobile01</t>
        </is>
      </c>
      <c r="G185" s="10" t="inlineStr">
        <is>
          <t>L1</t>
        </is>
      </c>
      <c r="H185" s="10" t="inlineStr">
        <is>
          <t>P2</t>
        </is>
      </c>
    </row>
    <row r="186">
      <c r="A186" s="7" t="inlineStr">
        <is>
          <t>A9-07</t>
        </is>
      </c>
      <c r="B186" s="7" t="inlineStr">
        <is>
          <t>A9 定位技術科普與選型</t>
        </is>
      </c>
      <c r="C186" s="8" t="inlineStr">
        <is>
          <t>Wi-Fi 定位沿用既有 AP 的 CP 值</t>
        </is>
      </c>
      <c r="D186" s="7" t="inlineStr">
        <is>
          <t>工廠／3C</t>
        </is>
      </c>
      <c r="E186" s="8" t="inlineStr">
        <is>
          <t>選型</t>
        </is>
      </c>
      <c r="F186" s="8" t="inlineStr">
        <is>
          <t>技術部落格</t>
        </is>
      </c>
      <c r="G186" s="7" t="inlineStr">
        <is>
          <t>L1</t>
        </is>
      </c>
      <c r="H186" s="7" t="inlineStr">
        <is>
          <t>P2</t>
        </is>
      </c>
    </row>
    <row r="187">
      <c r="A187" s="10" t="inlineStr">
        <is>
          <t>A9-08</t>
        </is>
      </c>
      <c r="B187" s="10" t="inlineStr">
        <is>
          <t>A9 定位技術科普與選型</t>
        </is>
      </c>
      <c r="C187" s="11" t="inlineStr">
        <is>
          <t>LoRa 適合什麼場景、不適合什麼場景</t>
        </is>
      </c>
      <c r="D187" s="10" t="inlineStr">
        <is>
          <t>3C</t>
        </is>
      </c>
      <c r="E187" s="11" t="inlineStr">
        <is>
          <t>選型</t>
        </is>
      </c>
      <c r="F187" s="11" t="inlineStr">
        <is>
          <t>技術部落格</t>
        </is>
      </c>
      <c r="G187" s="10" t="inlineStr">
        <is>
          <t>L1</t>
        </is>
      </c>
      <c r="H187" s="10" t="inlineStr">
        <is>
          <t>P3</t>
        </is>
      </c>
    </row>
    <row r="188">
      <c r="A188" s="7" t="inlineStr">
        <is>
          <t>A9-09</t>
        </is>
      </c>
      <c r="B188" s="7" t="inlineStr">
        <is>
          <t>A9 定位技術科普與選型</t>
        </is>
      </c>
      <c r="C188" s="8" t="inlineStr">
        <is>
          <t>「地板下感測網格」是什麼概念（3m×3m 的想像）</t>
        </is>
      </c>
      <c r="D188" s="7" t="inlineStr">
        <is>
          <t>工廠／3C</t>
        </is>
      </c>
      <c r="E188" s="8" t="inlineStr">
        <is>
          <t>前瞻</t>
        </is>
      </c>
      <c r="F188" s="8" t="inlineStr">
        <is>
          <t>Mobile01</t>
        </is>
      </c>
      <c r="G188" s="7" t="inlineStr">
        <is>
          <t>L3</t>
        </is>
      </c>
      <c r="H188" s="7" t="inlineStr">
        <is>
          <t>P3</t>
        </is>
      </c>
    </row>
    <row r="189">
      <c r="A189" s="10" t="inlineStr">
        <is>
          <t>A9-10</t>
        </is>
      </c>
      <c r="B189" s="10" t="inlineStr">
        <is>
          <t>A9 定位技術科普與選型</t>
        </is>
      </c>
      <c r="C189" s="11" t="inlineStr">
        <is>
          <t>電子圍籬的觸發邏輯：進入、離開、久未移動</t>
        </is>
      </c>
      <c r="D189" s="10" t="inlineStr">
        <is>
          <t>3C</t>
        </is>
      </c>
      <c r="E189" s="11" t="inlineStr">
        <is>
          <t>科普</t>
        </is>
      </c>
      <c r="F189" s="11" t="inlineStr">
        <is>
          <t>技術部落格</t>
        </is>
      </c>
      <c r="G189" s="10" t="inlineStr">
        <is>
          <t>L2</t>
        </is>
      </c>
      <c r="H189" s="10" t="inlineStr">
        <is>
          <t>P2</t>
        </is>
      </c>
    </row>
    <row r="190">
      <c r="A190" s="7" t="inlineStr">
        <is>
          <t>A9-11</t>
        </is>
      </c>
      <c r="B190" s="7" t="inlineStr">
        <is>
          <t>A9 定位技術科普與選型</t>
        </is>
      </c>
      <c r="C190" s="8" t="inlineStr">
        <is>
          <t>群眾網路的密度決定一切：人多的地方才準</t>
        </is>
      </c>
      <c r="D190" s="7" t="inlineStr">
        <is>
          <t>3C</t>
        </is>
      </c>
      <c r="E190" s="8" t="inlineStr">
        <is>
          <t>誠實科普</t>
        </is>
      </c>
      <c r="F190" s="8" t="inlineStr">
        <is>
          <t>Mobile01／Dcard</t>
        </is>
      </c>
      <c r="G190" s="7" t="inlineStr">
        <is>
          <t>L2</t>
        </is>
      </c>
      <c r="H190" s="9" t="inlineStr">
        <is>
          <t>P1</t>
        </is>
      </c>
    </row>
    <row r="191">
      <c r="A191" s="10" t="inlineStr">
        <is>
          <t>A9-12</t>
        </is>
      </c>
      <c r="B191" s="10" t="inlineStr">
        <is>
          <t>A9 定位技術科普與選型</t>
        </is>
      </c>
      <c r="C191" s="11" t="inlineStr">
        <is>
          <t>匿名回傳怎麼做到「幫你定位但不知道你是誰」</t>
        </is>
      </c>
      <c r="D191" s="10" t="inlineStr">
        <is>
          <t>3C／公共</t>
        </is>
      </c>
      <c r="E191" s="11" t="inlineStr">
        <is>
          <t>技術＋信任</t>
        </is>
      </c>
      <c r="F191" s="11" t="inlineStr">
        <is>
          <t>Mobile01</t>
        </is>
      </c>
      <c r="G191" s="10" t="inlineStr">
        <is>
          <t>L2</t>
        </is>
      </c>
      <c r="H191" s="9" t="inlineStr">
        <is>
          <t>P1</t>
        </is>
      </c>
    </row>
    <row r="192">
      <c r="A192" s="7" t="inlineStr">
        <is>
          <t>A9-13</t>
        </is>
      </c>
      <c r="B192" s="7" t="inlineStr">
        <is>
          <t>A9 定位技術科普與選型</t>
        </is>
      </c>
      <c r="C192" s="8" t="inlineStr">
        <is>
          <t>去識別化與加密，在定位系統裡實際長什麼樣</t>
        </is>
      </c>
      <c r="D192" s="7" t="inlineStr">
        <is>
          <t>3C／公共</t>
        </is>
      </c>
      <c r="E192" s="8" t="inlineStr">
        <is>
          <t>技術</t>
        </is>
      </c>
      <c r="F192" s="8" t="inlineStr">
        <is>
          <t>技術部落格</t>
        </is>
      </c>
      <c r="G192" s="7" t="inlineStr">
        <is>
          <t>L2</t>
        </is>
      </c>
      <c r="H192" s="7" t="inlineStr">
        <is>
          <t>P2</t>
        </is>
      </c>
    </row>
    <row r="193">
      <c r="A193" s="10" t="inlineStr">
        <is>
          <t>A9-14</t>
        </is>
      </c>
      <c r="B193" s="10" t="inlineStr">
        <is>
          <t>A9 定位技術科普與選型</t>
        </is>
      </c>
      <c r="C193" s="11" t="inlineStr">
        <is>
          <t>電池能撐一年的原理：廣播間隔與功耗的取捨</t>
        </is>
      </c>
      <c r="D193" s="10" t="inlineStr">
        <is>
          <t>3C</t>
        </is>
      </c>
      <c r="E193" s="11" t="inlineStr">
        <is>
          <t>技術</t>
        </is>
      </c>
      <c r="F193" s="11" t="inlineStr">
        <is>
          <t>Mobile01</t>
        </is>
      </c>
      <c r="G193" s="10" t="inlineStr">
        <is>
          <t>L2</t>
        </is>
      </c>
      <c r="H193" s="9" t="inlineStr">
        <is>
          <t>P1</t>
        </is>
      </c>
    </row>
    <row r="194">
      <c r="A194" s="7" t="inlineStr">
        <is>
          <t>A9-15</t>
        </is>
      </c>
      <c r="B194" s="7" t="inlineStr">
        <is>
          <t>A9 定位技術科普與選型</t>
        </is>
      </c>
      <c r="C194" s="8" t="inlineStr">
        <is>
          <t>溫度感測怎麼塞進一顆鈕扣電池的標籤裡</t>
        </is>
      </c>
      <c r="D194" s="7" t="inlineStr">
        <is>
          <t>3C</t>
        </is>
      </c>
      <c r="E194" s="8" t="inlineStr">
        <is>
          <t>技術</t>
        </is>
      </c>
      <c r="F194" s="8" t="inlineStr">
        <is>
          <t>Mobile01</t>
        </is>
      </c>
      <c r="G194" s="7" t="inlineStr">
        <is>
          <t>L2</t>
        </is>
      </c>
      <c r="H194" s="7" t="inlineStr">
        <is>
          <t>P3</t>
        </is>
      </c>
    </row>
    <row r="195">
      <c r="A195" s="10" t="inlineStr">
        <is>
          <t>A9-16</t>
        </is>
      </c>
      <c r="B195" s="10" t="inlineStr">
        <is>
          <t>A9 定位技術科普與選型</t>
        </is>
      </c>
      <c r="C195" s="11" t="inlineStr">
        <is>
          <t>邊緣判斷 vs 雲端判斷：告警該在哪裡算</t>
        </is>
      </c>
      <c r="D195" s="10" t="inlineStr">
        <is>
          <t>3C／工廠</t>
        </is>
      </c>
      <c r="E195" s="11" t="inlineStr">
        <is>
          <t>架構</t>
        </is>
      </c>
      <c r="F195" s="11" t="inlineStr">
        <is>
          <t>技術部落格</t>
        </is>
      </c>
      <c r="G195" s="10" t="inlineStr">
        <is>
          <t>L2</t>
        </is>
      </c>
      <c r="H195" s="10" t="inlineStr">
        <is>
          <t>P3</t>
        </is>
      </c>
    </row>
    <row r="196">
      <c r="A196" s="7" t="inlineStr">
        <is>
          <t>A9-17</t>
        </is>
      </c>
      <c r="B196" s="7" t="inlineStr">
        <is>
          <t>A9 定位技術科普與選型</t>
        </is>
      </c>
      <c r="C196" s="8" t="inlineStr">
        <is>
          <t>API 與 Webhook：定位資料怎麼被別的系統用</t>
        </is>
      </c>
      <c r="D196" s="7" t="inlineStr">
        <is>
          <t>3C／工廠</t>
        </is>
      </c>
      <c r="E196" s="8" t="inlineStr">
        <is>
          <t>整合</t>
        </is>
      </c>
      <c r="F196" s="8" t="inlineStr">
        <is>
          <t>技術部落格</t>
        </is>
      </c>
      <c r="G196" s="7" t="inlineStr">
        <is>
          <t>L2</t>
        </is>
      </c>
      <c r="H196" s="7" t="inlineStr">
        <is>
          <t>P2</t>
        </is>
      </c>
    </row>
    <row r="197">
      <c r="A197" s="10" t="inlineStr">
        <is>
          <t>A9-18</t>
        </is>
      </c>
      <c r="B197" s="10" t="inlineStr">
        <is>
          <t>A9 定位技術科普與選型</t>
        </is>
      </c>
      <c r="C197" s="11" t="inlineStr">
        <is>
          <t>定位系統的誤報率，怎麼調到「可以忍受」</t>
        </is>
      </c>
      <c r="D197" s="10" t="inlineStr">
        <is>
          <t>工廠／機構</t>
        </is>
      </c>
      <c r="E197" s="11" t="inlineStr">
        <is>
          <t>實務</t>
        </is>
      </c>
      <c r="F197" s="11" t="inlineStr">
        <is>
          <t>技術部落格</t>
        </is>
      </c>
      <c r="G197" s="10" t="inlineStr">
        <is>
          <t>L2</t>
        </is>
      </c>
      <c r="H197" s="9" t="inlineStr">
        <is>
          <t>P1</t>
        </is>
      </c>
    </row>
    <row r="198">
      <c r="A198" s="7" t="inlineStr">
        <is>
          <t>A9-19</t>
        </is>
      </c>
      <c r="B198" s="7" t="inlineStr">
        <is>
          <t>A9 定位技術科普與選型</t>
        </is>
      </c>
      <c r="C198" s="8" t="inlineStr">
        <is>
          <t>室內外無縫切換為什麼這麼難</t>
        </is>
      </c>
      <c r="D198" s="7" t="inlineStr">
        <is>
          <t>3C</t>
        </is>
      </c>
      <c r="E198" s="8" t="inlineStr">
        <is>
          <t>技術</t>
        </is>
      </c>
      <c r="F198" s="8" t="inlineStr">
        <is>
          <t>Mobile01</t>
        </is>
      </c>
      <c r="G198" s="7" t="inlineStr">
        <is>
          <t>L2</t>
        </is>
      </c>
      <c r="H198" s="7" t="inlineStr">
        <is>
          <t>P2</t>
        </is>
      </c>
    </row>
    <row r="199">
      <c r="A199" s="10" t="inlineStr">
        <is>
          <t>A9-20</t>
        </is>
      </c>
      <c r="B199" s="10" t="inlineStr">
        <is>
          <t>A9 定位技術科普與選型</t>
        </is>
      </c>
      <c r="C199" s="11" t="inlineStr">
        <is>
          <t>定位技術 20 個專有名詞的白話翻譯</t>
        </is>
      </c>
      <c r="D199" s="10" t="inlineStr">
        <is>
          <t>3C</t>
        </is>
      </c>
      <c r="E199" s="11" t="inlineStr">
        <is>
          <t>工具</t>
        </is>
      </c>
      <c r="F199" s="11" t="inlineStr">
        <is>
          <t>部落格</t>
        </is>
      </c>
      <c r="G199" s="10" t="inlineStr">
        <is>
          <t>L1</t>
        </is>
      </c>
      <c r="H199" s="10" t="inlineStr">
        <is>
          <t>P2</t>
        </is>
      </c>
    </row>
    <row r="200">
      <c r="A200" s="7" t="inlineStr">
        <is>
          <t>A9-21</t>
        </is>
      </c>
      <c r="B200" s="7" t="inlineStr">
        <is>
          <t>A9 定位技術科普與選型</t>
        </is>
      </c>
      <c r="C200" s="8" t="inlineStr">
        <is>
          <t>移動接收器 vs 固定基礎建設：什麼時候該用哪一種</t>
        </is>
      </c>
      <c r="D200" s="7" t="inlineStr">
        <is>
          <t>3C／工廠</t>
        </is>
      </c>
      <c r="E200" s="8" t="inlineStr">
        <is>
          <t>選型科普</t>
        </is>
      </c>
      <c r="F200" s="8" t="inlineStr">
        <is>
          <t>技術部落格</t>
        </is>
      </c>
      <c r="G200" s="7" t="inlineStr">
        <is>
          <t>L2</t>
        </is>
      </c>
      <c r="H200" s="9" t="inlineStr">
        <is>
          <t>P1</t>
        </is>
      </c>
    </row>
    <row r="201">
      <c r="A201" s="10" t="inlineStr">
        <is>
          <t>A10-01</t>
        </is>
      </c>
      <c r="B201" s="10" t="inlineStr">
        <is>
          <t>A10 隱私倫理與社會議題</t>
        </is>
      </c>
      <c r="C201" s="11" t="inlineStr">
        <is>
          <t>定位是保護還是監控？這條線畫在哪</t>
        </is>
      </c>
      <c r="D201" s="10" t="inlineStr">
        <is>
          <t>公共</t>
        </is>
      </c>
      <c r="E201" s="11" t="inlineStr">
        <is>
          <t>辯論</t>
        </is>
      </c>
      <c r="F201" s="11" t="inlineStr">
        <is>
          <t>Threads／Dcard</t>
        </is>
      </c>
      <c r="G201" s="10" t="inlineStr">
        <is>
          <t>L0</t>
        </is>
      </c>
      <c r="H201" s="10" t="inlineStr">
        <is>
          <t>P2</t>
        </is>
      </c>
    </row>
    <row r="202">
      <c r="A202" s="7" t="inlineStr">
        <is>
          <t>A10-02</t>
        </is>
      </c>
      <c r="B202" s="7" t="inlineStr">
        <is>
          <t>A10 隱私倫理與社會議題</t>
        </is>
      </c>
      <c r="C202" s="8" t="inlineStr">
        <is>
          <t>誰有權決定一位失智長輩要不要被定位</t>
        </is>
      </c>
      <c r="D202" s="7" t="inlineStr">
        <is>
          <t>公共</t>
        </is>
      </c>
      <c r="E202" s="8" t="inlineStr">
        <is>
          <t>倫理</t>
        </is>
      </c>
      <c r="F202" s="8" t="inlineStr">
        <is>
          <t>投書／Threads</t>
        </is>
      </c>
      <c r="G202" s="7" t="inlineStr">
        <is>
          <t>L0</t>
        </is>
      </c>
      <c r="H202" s="7" t="inlineStr">
        <is>
          <t>P2</t>
        </is>
      </c>
    </row>
    <row r="203">
      <c r="A203" s="10" t="inlineStr">
        <is>
          <t>A10-03</t>
        </is>
      </c>
      <c r="B203" s="10" t="inlineStr">
        <is>
          <t>A10 隱私倫理與社會議題</t>
        </is>
      </c>
      <c r="C203" s="11" t="inlineStr">
        <is>
          <t>知情同意與法定代理人：實務上怎麼做</t>
        </is>
      </c>
      <c r="D203" s="10" t="inlineStr">
        <is>
          <t>公共／機構</t>
        </is>
      </c>
      <c r="E203" s="11" t="inlineStr">
        <is>
          <t>合規</t>
        </is>
      </c>
      <c r="F203" s="11" t="inlineStr">
        <is>
          <t>部落格</t>
        </is>
      </c>
      <c r="G203" s="10" t="inlineStr">
        <is>
          <t>L1</t>
        </is>
      </c>
      <c r="H203" s="9" t="inlineStr">
        <is>
          <t>P1</t>
        </is>
      </c>
    </row>
    <row r="204">
      <c r="A204" s="7" t="inlineStr">
        <is>
          <t>A10-04</t>
        </is>
      </c>
      <c r="B204" s="7" t="inlineStr">
        <is>
          <t>A10 隱私倫理與社會議題</t>
        </is>
      </c>
      <c r="C204" s="8" t="inlineStr">
        <is>
          <t>員工定位的勞資界線在哪裡</t>
        </is>
      </c>
      <c r="D204" s="7" t="inlineStr">
        <is>
          <t>公共／工廠</t>
        </is>
      </c>
      <c r="E204" s="8" t="inlineStr">
        <is>
          <t>議題</t>
        </is>
      </c>
      <c r="F204" s="8" t="inlineStr">
        <is>
          <t>Dcard／LinkedIn</t>
        </is>
      </c>
      <c r="G204" s="7" t="inlineStr">
        <is>
          <t>L0</t>
        </is>
      </c>
      <c r="H204" s="7" t="inlineStr">
        <is>
          <t>P2</t>
        </is>
      </c>
    </row>
    <row r="205">
      <c r="A205" s="10" t="inlineStr">
        <is>
          <t>A10-05</t>
        </is>
      </c>
      <c r="B205" s="10" t="inlineStr">
        <is>
          <t>A10 隱私倫理與社會議題</t>
        </is>
      </c>
      <c r="C205" s="11" t="inlineStr">
        <is>
          <t>幫小孩裝定位：保護與信任的分寸</t>
        </is>
      </c>
      <c r="D205" s="10" t="inlineStr">
        <is>
          <t>公共</t>
        </is>
      </c>
      <c r="E205" s="11" t="inlineStr">
        <is>
          <t>議題</t>
        </is>
      </c>
      <c r="F205" s="11" t="inlineStr">
        <is>
          <t>Threads</t>
        </is>
      </c>
      <c r="G205" s="10" t="inlineStr">
        <is>
          <t>L0</t>
        </is>
      </c>
      <c r="H205" s="10" t="inlineStr">
        <is>
          <t>P3</t>
        </is>
      </c>
    </row>
    <row r="206">
      <c r="A206" s="7" t="inlineStr">
        <is>
          <t>A10-06</t>
        </is>
      </c>
      <c r="B206" s="7" t="inlineStr">
        <is>
          <t>A10 隱私倫理與社會議題</t>
        </is>
      </c>
      <c r="C206" s="8" t="inlineStr">
        <is>
          <t>AirTag 被用來跟蹤：國際案例與各家的反制設計</t>
        </is>
      </c>
      <c r="D206" s="7" t="inlineStr">
        <is>
          <t>3C／公共</t>
        </is>
      </c>
      <c r="E206" s="8" t="inlineStr">
        <is>
          <t>時事＋技術</t>
        </is>
      </c>
      <c r="F206" s="8" t="inlineStr">
        <is>
          <t>Mobile01／Threads</t>
        </is>
      </c>
      <c r="G206" s="7" t="inlineStr">
        <is>
          <t>L1</t>
        </is>
      </c>
      <c r="H206" s="7" t="inlineStr">
        <is>
          <t>P2</t>
        </is>
      </c>
    </row>
    <row r="207">
      <c r="A207" s="10" t="inlineStr">
        <is>
          <t>A10-07</t>
        </is>
      </c>
      <c r="B207" s="10" t="inlineStr">
        <is>
          <t>A10 隱私倫理與社會議題</t>
        </is>
      </c>
      <c r="C207" s="11" t="inlineStr">
        <is>
          <t>你的定位資料誰能查、留多久、誰在稽核</t>
        </is>
      </c>
      <c r="D207" s="10" t="inlineStr">
        <is>
          <t>公共</t>
        </is>
      </c>
      <c r="E207" s="11" t="inlineStr">
        <is>
          <t>議題</t>
        </is>
      </c>
      <c r="F207" s="11" t="inlineStr">
        <is>
          <t>部落格</t>
        </is>
      </c>
      <c r="G207" s="10" t="inlineStr">
        <is>
          <t>L2</t>
        </is>
      </c>
      <c r="H207" s="10" t="inlineStr">
        <is>
          <t>P2</t>
        </is>
      </c>
    </row>
    <row r="208">
      <c r="A208" s="7" t="inlineStr">
        <is>
          <t>A10-08</t>
        </is>
      </c>
      <c r="B208" s="7" t="inlineStr">
        <is>
          <t>A10 隱私倫理與社會議題</t>
        </is>
      </c>
      <c r="C208" s="8" t="inlineStr">
        <is>
          <t>資料外洩會長什麼樣：三個想像場景</t>
        </is>
      </c>
      <c r="D208" s="7" t="inlineStr">
        <is>
          <t>公共</t>
        </is>
      </c>
      <c r="E208" s="8" t="inlineStr">
        <is>
          <t>議題</t>
        </is>
      </c>
      <c r="F208" s="8" t="inlineStr">
        <is>
          <t>Threads</t>
        </is>
      </c>
      <c r="G208" s="7" t="inlineStr">
        <is>
          <t>L1</t>
        </is>
      </c>
      <c r="H208" s="7" t="inlineStr">
        <is>
          <t>P3</t>
        </is>
      </c>
    </row>
    <row r="209">
      <c r="A209" s="10" t="inlineStr">
        <is>
          <t>A10-09</t>
        </is>
      </c>
      <c r="B209" s="10" t="inlineStr">
        <is>
          <t>A10 隱私倫理與社會議題</t>
        </is>
      </c>
      <c r="C209" s="11" t="inlineStr">
        <is>
          <t>去識別化的極限：真的匿名得了嗎</t>
        </is>
      </c>
      <c r="D209" s="10" t="inlineStr">
        <is>
          <t>公共／3C</t>
        </is>
      </c>
      <c r="E209" s="11" t="inlineStr">
        <is>
          <t>深度</t>
        </is>
      </c>
      <c r="F209" s="11" t="inlineStr">
        <is>
          <t>技術部落格</t>
        </is>
      </c>
      <c r="G209" s="10" t="inlineStr">
        <is>
          <t>L1</t>
        </is>
      </c>
      <c r="H209" s="10" t="inlineStr">
        <is>
          <t>P3</t>
        </is>
      </c>
    </row>
    <row r="210">
      <c r="A210" s="7" t="inlineStr">
        <is>
          <t>A10-10</t>
        </is>
      </c>
      <c r="B210" s="7" t="inlineStr">
        <is>
          <t>A10 隱私倫理與社會議題</t>
        </is>
      </c>
      <c r="C210" s="8" t="inlineStr">
        <is>
          <t>停用之後，我的位置紀錄會被刪掉嗎</t>
        </is>
      </c>
      <c r="D210" s="7" t="inlineStr">
        <is>
          <t>公共</t>
        </is>
      </c>
      <c r="E210" s="8" t="inlineStr">
        <is>
          <t>議題</t>
        </is>
      </c>
      <c r="F210" s="8" t="inlineStr">
        <is>
          <t>部落格</t>
        </is>
      </c>
      <c r="G210" s="7" t="inlineStr">
        <is>
          <t>L2</t>
        </is>
      </c>
      <c r="H210" s="7" t="inlineStr">
        <is>
          <t>P2</t>
        </is>
      </c>
    </row>
    <row r="211">
      <c r="A211" s="10" t="inlineStr">
        <is>
          <t>A10-11</t>
        </is>
      </c>
      <c r="B211" s="10" t="inlineStr">
        <is>
          <t>A10 隱私倫理與社會議題</t>
        </is>
      </c>
      <c r="C211" s="11" t="inlineStr">
        <is>
          <t>群眾網路：我的手機正在幫誰定位？</t>
        </is>
      </c>
      <c r="D211" s="10" t="inlineStr">
        <is>
          <t>3C／公共</t>
        </is>
      </c>
      <c r="E211" s="11" t="inlineStr">
        <is>
          <t>反差題</t>
        </is>
      </c>
      <c r="F211" s="11" t="inlineStr">
        <is>
          <t>Threads／Mobile01</t>
        </is>
      </c>
      <c r="G211" s="10" t="inlineStr">
        <is>
          <t>L2</t>
        </is>
      </c>
      <c r="H211" s="9" t="inlineStr">
        <is>
          <t>P1</t>
        </is>
      </c>
    </row>
    <row r="212">
      <c r="A212" s="7" t="inlineStr">
        <is>
          <t>A10-12</t>
        </is>
      </c>
      <c r="B212" s="7" t="inlineStr">
        <is>
          <t>A10 隱私倫理與社會議題</t>
        </is>
      </c>
      <c r="C212" s="8" t="inlineStr">
        <is>
          <t>科技會不會讓照顧責任被轉嫁</t>
        </is>
      </c>
      <c r="D212" s="7" t="inlineStr">
        <is>
          <t>公共</t>
        </is>
      </c>
      <c r="E212" s="8" t="inlineStr">
        <is>
          <t>反思</t>
        </is>
      </c>
      <c r="F212" s="8" t="inlineStr">
        <is>
          <t>投書</t>
        </is>
      </c>
      <c r="G212" s="7" t="inlineStr">
        <is>
          <t>L0</t>
        </is>
      </c>
      <c r="H212" s="7" t="inlineStr">
        <is>
          <t>P3</t>
        </is>
      </c>
    </row>
    <row r="213">
      <c r="A213" s="10" t="inlineStr">
        <is>
          <t>A10-13</t>
        </is>
      </c>
      <c r="B213" s="10" t="inlineStr">
        <is>
          <t>A10 隱私倫理與社會議題</t>
        </is>
      </c>
      <c r="C213" s="11" t="inlineStr">
        <is>
          <t>行動自由與「風險的尊嚴」（dignity of risk）</t>
        </is>
      </c>
      <c r="D213" s="10" t="inlineStr">
        <is>
          <t>公共</t>
        </is>
      </c>
      <c r="E213" s="11" t="inlineStr">
        <is>
          <t>深度</t>
        </is>
      </c>
      <c r="F213" s="11" t="inlineStr">
        <is>
          <t>投書／部落格</t>
        </is>
      </c>
      <c r="G213" s="10" t="inlineStr">
        <is>
          <t>L0</t>
        </is>
      </c>
      <c r="H213" s="10" t="inlineStr">
        <is>
          <t>P2</t>
        </is>
      </c>
    </row>
    <row r="214">
      <c r="A214" s="7" t="inlineStr">
        <is>
          <t>A10-14</t>
        </is>
      </c>
      <c r="B214" s="7" t="inlineStr">
        <is>
          <t>A10 隱私倫理與社會議題</t>
        </is>
      </c>
      <c r="C214" s="8" t="inlineStr">
        <is>
          <t>走失事故的責任歸屬與保險</t>
        </is>
      </c>
      <c r="D214" s="7" t="inlineStr">
        <is>
          <t>機構／公共</t>
        </is>
      </c>
      <c r="E214" s="8" t="inlineStr">
        <is>
          <t>實務</t>
        </is>
      </c>
      <c r="F214" s="8" t="inlineStr">
        <is>
          <t>部落格</t>
        </is>
      </c>
      <c r="G214" s="7" t="inlineStr">
        <is>
          <t>L1</t>
        </is>
      </c>
      <c r="H214" s="9" t="inlineStr">
        <is>
          <t>P1</t>
        </is>
      </c>
    </row>
    <row r="215">
      <c r="A215" s="10" t="inlineStr">
        <is>
          <t>A10-15</t>
        </is>
      </c>
      <c r="B215" s="10" t="inlineStr">
        <is>
          <t>A10 隱私倫理與社會議題</t>
        </is>
      </c>
      <c r="C215" s="11" t="inlineStr">
        <is>
          <t>科技輔具補助的公平性：誰申請得到、誰申請不到</t>
        </is>
      </c>
      <c r="D215" s="10" t="inlineStr">
        <is>
          <t>公共</t>
        </is>
      </c>
      <c r="E215" s="11" t="inlineStr">
        <is>
          <t>議題</t>
        </is>
      </c>
      <c r="F215" s="11" t="inlineStr">
        <is>
          <t>投書</t>
        </is>
      </c>
      <c r="G215" s="10" t="inlineStr">
        <is>
          <t>L0</t>
        </is>
      </c>
      <c r="H215" s="10" t="inlineStr">
        <is>
          <t>P2</t>
        </is>
      </c>
    </row>
    <row r="216">
      <c r="A216" s="7" t="inlineStr">
        <is>
          <t>A10-16</t>
        </is>
      </c>
      <c r="B216" s="7" t="inlineStr">
        <is>
          <t>A10 隱私倫理與社會議題</t>
        </is>
      </c>
      <c r="C216" s="8" t="inlineStr">
        <is>
          <t>失智友善社區與科技：人與機器怎麼分工</t>
        </is>
      </c>
      <c r="D216" s="7" t="inlineStr">
        <is>
          <t>公共</t>
        </is>
      </c>
      <c r="E216" s="8" t="inlineStr">
        <is>
          <t>願景</t>
        </is>
      </c>
      <c r="F216" s="8" t="inlineStr">
        <is>
          <t>投書／Threads</t>
        </is>
      </c>
      <c r="G216" s="7" t="inlineStr">
        <is>
          <t>L1</t>
        </is>
      </c>
      <c r="H216" s="7" t="inlineStr">
        <is>
          <t>P3</t>
        </is>
      </c>
    </row>
    <row r="217">
      <c r="A217" s="10" t="inlineStr">
        <is>
          <t>A10-17</t>
        </is>
      </c>
      <c r="B217" s="10" t="inlineStr">
        <is>
          <t>A10 隱私倫理與社會議題</t>
        </is>
      </c>
      <c r="C217" s="11" t="inlineStr">
        <is>
          <t>超高齡社會的照顧人力缺口，用數字看</t>
        </is>
      </c>
      <c r="D217" s="10" t="inlineStr">
        <is>
          <t>公共</t>
        </is>
      </c>
      <c r="E217" s="11" t="inlineStr">
        <is>
          <t>數據</t>
        </is>
      </c>
      <c r="F217" s="11" t="inlineStr">
        <is>
          <t>部落格／圖卡</t>
        </is>
      </c>
      <c r="G217" s="10" t="inlineStr">
        <is>
          <t>L0</t>
        </is>
      </c>
      <c r="H217" s="10" t="inlineStr">
        <is>
          <t>P2</t>
        </is>
      </c>
    </row>
    <row r="218">
      <c r="A218" s="7" t="inlineStr">
        <is>
          <t>A10-18</t>
        </is>
      </c>
      <c r="B218" s="7" t="inlineStr">
        <is>
          <t>A10 隱私倫理與社會議題</t>
        </is>
      </c>
      <c r="C218" s="8" t="inlineStr">
        <is>
          <t>國際比較：日本、荷蘭做法</t>
        </is>
      </c>
      <c r="D218" s="7" t="inlineStr">
        <is>
          <t>公共</t>
        </is>
      </c>
      <c r="E218" s="8" t="inlineStr">
        <is>
          <t>視野</t>
        </is>
      </c>
      <c r="F218" s="8" t="inlineStr">
        <is>
          <t>部落格</t>
        </is>
      </c>
      <c r="G218" s="7" t="inlineStr">
        <is>
          <t>L0</t>
        </is>
      </c>
      <c r="H218" s="7" t="inlineStr">
        <is>
          <t>P3</t>
        </is>
      </c>
    </row>
    <row r="219">
      <c r="A219" s="10" t="inlineStr">
        <is>
          <t>A10-19</t>
        </is>
      </c>
      <c r="B219" s="10" t="inlineStr">
        <is>
          <t>A10 隱私倫理與社會議題</t>
        </is>
      </c>
      <c r="C219" s="11" t="inlineStr">
        <is>
          <t>如果《失智症基本法》納入隱私條款，會怎麼寫</t>
        </is>
      </c>
      <c r="D219" s="10" t="inlineStr">
        <is>
          <t>公共</t>
        </is>
      </c>
      <c r="E219" s="11" t="inlineStr">
        <is>
          <t>前瞻</t>
        </is>
      </c>
      <c r="F219" s="11" t="inlineStr">
        <is>
          <t>投書</t>
        </is>
      </c>
      <c r="G219" s="10" t="inlineStr">
        <is>
          <t>L0</t>
        </is>
      </c>
      <c r="H219" s="10" t="inlineStr">
        <is>
          <t>P3</t>
        </is>
      </c>
    </row>
    <row r="220">
      <c r="A220" s="7" t="inlineStr">
        <is>
          <t>A10-20</t>
        </is>
      </c>
      <c r="B220" s="7" t="inlineStr">
        <is>
          <t>A10 隱私倫理與社會議題</t>
        </is>
      </c>
      <c r="C220" s="8" t="inlineStr">
        <is>
          <t>十年後的照顧樣貌</t>
        </is>
      </c>
      <c r="D220" s="7" t="inlineStr">
        <is>
          <t>公共</t>
        </is>
      </c>
      <c r="E220" s="8" t="inlineStr">
        <is>
          <t>願景</t>
        </is>
      </c>
      <c r="F220" s="8" t="inlineStr">
        <is>
          <t>Threads／影片</t>
        </is>
      </c>
      <c r="G220" s="7" t="inlineStr">
        <is>
          <t>L1</t>
        </is>
      </c>
      <c r="H220" s="7" t="inlineStr">
        <is>
          <t>P3</t>
        </is>
      </c>
    </row>
    <row r="221">
      <c r="A221" s="10" t="inlineStr">
        <is>
          <t>A11-01</t>
        </is>
      </c>
      <c r="B221" s="10" t="inlineStr">
        <is>
          <t>A11 通路與經銷商</t>
        </is>
      </c>
      <c r="C221" s="11" t="inlineStr">
        <is>
          <t>長照輔具這門生意，2026 年好不好做</t>
        </is>
      </c>
      <c r="D221" s="10" t="inlineStr">
        <is>
          <t>通路</t>
        </is>
      </c>
      <c r="E221" s="11" t="inlineStr">
        <is>
          <t>市場判斷</t>
        </is>
      </c>
      <c r="F221" s="11" t="inlineStr">
        <is>
          <t>LinkedIn／產業媒體</t>
        </is>
      </c>
      <c r="G221" s="10" t="inlineStr">
        <is>
          <t>L0</t>
        </is>
      </c>
      <c r="H221" s="9" t="inlineStr">
        <is>
          <t>P1</t>
        </is>
      </c>
    </row>
    <row r="222">
      <c r="A222" s="7" t="inlineStr">
        <is>
          <t>A11-02</t>
        </is>
      </c>
      <c r="B222" s="7" t="inlineStr">
        <is>
          <t>A11 通路與經銷商</t>
        </is>
      </c>
      <c r="C222" s="8" t="inlineStr">
        <is>
          <t>代理一個智慧輔具，要準備什麼</t>
        </is>
      </c>
      <c r="D222" s="7" t="inlineStr">
        <is>
          <t>通路</t>
        </is>
      </c>
      <c r="E222" s="8" t="inlineStr">
        <is>
          <t>決策</t>
        </is>
      </c>
      <c r="F222" s="8" t="inlineStr">
        <is>
          <t>產業媒體</t>
        </is>
      </c>
      <c r="G222" s="7" t="inlineStr">
        <is>
          <t>L1</t>
        </is>
      </c>
      <c r="H222" s="9" t="inlineStr">
        <is>
          <t>P1</t>
        </is>
      </c>
    </row>
    <row r="223">
      <c r="A223" s="10" t="inlineStr">
        <is>
          <t>A11-03</t>
        </is>
      </c>
      <c r="B223" s="10" t="inlineStr">
        <is>
          <t>A11 通路與經銷商</t>
        </is>
      </c>
      <c r="C223" s="11" t="inlineStr">
        <is>
          <t>「特約輔具單位」是什麼？怎麼成為</t>
        </is>
      </c>
      <c r="D223" s="10" t="inlineStr">
        <is>
          <t>通路</t>
        </is>
      </c>
      <c r="E223" s="11" t="inlineStr">
        <is>
          <t>資格</t>
        </is>
      </c>
      <c r="F223" s="11" t="inlineStr">
        <is>
          <t>部落格</t>
        </is>
      </c>
      <c r="G223" s="10" t="inlineStr">
        <is>
          <t>L0</t>
        </is>
      </c>
      <c r="H223" s="9" t="inlineStr">
        <is>
          <t>P1</t>
        </is>
      </c>
    </row>
    <row r="224">
      <c r="A224" s="7" t="inlineStr">
        <is>
          <t>A11-04</t>
        </is>
      </c>
      <c r="B224" s="7" t="inlineStr">
        <is>
          <t>A11 通路與經銷商</t>
        </is>
      </c>
      <c r="C224" s="8" t="inlineStr">
        <is>
          <t>代償墊付怎麼運作：通路端的金流與請款</t>
        </is>
      </c>
      <c r="D224" s="7" t="inlineStr">
        <is>
          <t>通路</t>
        </is>
      </c>
      <c r="E224" s="8" t="inlineStr">
        <is>
          <t>實務</t>
        </is>
      </c>
      <c r="F224" s="8" t="inlineStr">
        <is>
          <t>產業媒體</t>
        </is>
      </c>
      <c r="G224" s="7" t="inlineStr">
        <is>
          <t>L0</t>
        </is>
      </c>
      <c r="H224" s="9" t="inlineStr">
        <is>
          <t>P1</t>
        </is>
      </c>
    </row>
    <row r="225">
      <c r="A225" s="10" t="inlineStr">
        <is>
          <t>A11-05</t>
        </is>
      </c>
      <c r="B225" s="10" t="inlineStr">
        <is>
          <t>A11 通路與經銷商</t>
        </is>
      </c>
      <c r="C225" s="11" t="inlineStr">
        <is>
          <t>輔具店最常被家屬問的 10 個問題</t>
        </is>
      </c>
      <c r="D225" s="10" t="inlineStr">
        <is>
          <t>通路</t>
        </is>
      </c>
      <c r="E225" s="11" t="inlineStr">
        <is>
          <t>工具</t>
        </is>
      </c>
      <c r="F225" s="11" t="inlineStr">
        <is>
          <t>產業媒體</t>
        </is>
      </c>
      <c r="G225" s="10" t="inlineStr">
        <is>
          <t>L1</t>
        </is>
      </c>
      <c r="H225" s="10" t="inlineStr">
        <is>
          <t>P2</t>
        </is>
      </c>
    </row>
    <row r="226">
      <c r="A226" s="7" t="inlineStr">
        <is>
          <t>A11-06</t>
        </is>
      </c>
      <c r="B226" s="7" t="inlineStr">
        <is>
          <t>A11 通路與經銷商</t>
        </is>
      </c>
      <c r="C226" s="8" t="inlineStr">
        <is>
          <t>藥局賣輔具，跟賣藥有什麼不一樣</t>
        </is>
      </c>
      <c r="D226" s="7" t="inlineStr">
        <is>
          <t>藥師／通路</t>
        </is>
      </c>
      <c r="E226" s="8" t="inlineStr">
        <is>
          <t>觀念</t>
        </is>
      </c>
      <c r="F226" s="8" t="inlineStr">
        <is>
          <t>產業媒體</t>
        </is>
      </c>
      <c r="G226" s="7" t="inlineStr">
        <is>
          <t>L0</t>
        </is>
      </c>
      <c r="H226" s="7" t="inlineStr">
        <is>
          <t>P2</t>
        </is>
      </c>
    </row>
    <row r="227">
      <c r="A227" s="10" t="inlineStr">
        <is>
          <t>A11-07</t>
        </is>
      </c>
      <c r="B227" s="10" t="inlineStr">
        <is>
          <t>A11 通路與經銷商</t>
        </is>
      </c>
      <c r="C227" s="11" t="inlineStr">
        <is>
          <t>智慧輔具 vs 傳統輔具：通路毛利結構差在哪</t>
        </is>
      </c>
      <c r="D227" s="10" t="inlineStr">
        <is>
          <t>通路</t>
        </is>
      </c>
      <c r="E227" s="11" t="inlineStr">
        <is>
          <t>生意</t>
        </is>
      </c>
      <c r="F227" s="11" t="inlineStr">
        <is>
          <t>LinkedIn</t>
        </is>
      </c>
      <c r="G227" s="10" t="inlineStr">
        <is>
          <t>L1</t>
        </is>
      </c>
      <c r="H227" s="9" t="inlineStr">
        <is>
          <t>P1</t>
        </is>
      </c>
    </row>
    <row r="228">
      <c r="A228" s="7" t="inlineStr">
        <is>
          <t>A11-08</t>
        </is>
      </c>
      <c r="B228" s="7" t="inlineStr">
        <is>
          <t>A11 通路與經銷商</t>
        </is>
      </c>
      <c r="C228" s="8" t="inlineStr">
        <is>
          <t>全租賃新制上路，通路端要改什麼</t>
        </is>
      </c>
      <c r="D228" s="7" t="inlineStr">
        <is>
          <t>通路</t>
        </is>
      </c>
      <c r="E228" s="8" t="inlineStr">
        <is>
          <t>政策</t>
        </is>
      </c>
      <c r="F228" s="8" t="inlineStr">
        <is>
          <t>產業媒體</t>
        </is>
      </c>
      <c r="G228" s="7" t="inlineStr">
        <is>
          <t>L1</t>
        </is>
      </c>
      <c r="H228" s="9" t="inlineStr">
        <is>
          <t>P1</t>
        </is>
      </c>
    </row>
    <row r="229">
      <c r="A229" s="10" t="inlineStr">
        <is>
          <t>A11-09</t>
        </is>
      </c>
      <c r="B229" s="10" t="inlineStr">
        <is>
          <t>A11 通路與經銷商</t>
        </is>
      </c>
      <c r="C229" s="11" t="inlineStr">
        <is>
          <t>租賃品的消毒、回收、耗材處理怎麼做</t>
        </is>
      </c>
      <c r="D229" s="10" t="inlineStr">
        <is>
          <t>通路</t>
        </is>
      </c>
      <c r="E229" s="11" t="inlineStr">
        <is>
          <t>實務</t>
        </is>
      </c>
      <c r="F229" s="11" t="inlineStr">
        <is>
          <t>產業媒體</t>
        </is>
      </c>
      <c r="G229" s="10" t="inlineStr">
        <is>
          <t>L1</t>
        </is>
      </c>
      <c r="H229" s="10" t="inlineStr">
        <is>
          <t>P2</t>
        </is>
      </c>
    </row>
    <row r="230">
      <c r="A230" s="7" t="inlineStr">
        <is>
          <t>A11-10</t>
        </is>
      </c>
      <c r="B230" s="7" t="inlineStr">
        <is>
          <t>A11 通路與經銷商</t>
        </is>
      </c>
      <c r="C230" s="8" t="inlineStr">
        <is>
          <t>客人拿著評估報告書走進來，你要做什麼</t>
        </is>
      </c>
      <c r="D230" s="7" t="inlineStr">
        <is>
          <t>通路</t>
        </is>
      </c>
      <c r="E230" s="8" t="inlineStr">
        <is>
          <t>SOP</t>
        </is>
      </c>
      <c r="F230" s="8" t="inlineStr">
        <is>
          <t>產業媒體</t>
        </is>
      </c>
      <c r="G230" s="7" t="inlineStr">
        <is>
          <t>L1</t>
        </is>
      </c>
      <c r="H230" s="9" t="inlineStr">
        <is>
          <t>P1</t>
        </is>
      </c>
    </row>
    <row r="231">
      <c r="A231" s="10" t="inlineStr">
        <is>
          <t>A11-11</t>
        </is>
      </c>
      <c r="B231" s="10" t="inlineStr">
        <is>
          <t>A11 通路與經銷商</t>
        </is>
      </c>
      <c r="C231" s="11" t="inlineStr">
        <is>
          <t>怎麼跟照專、個管師建立關係（合規做法與紅線）</t>
        </is>
      </c>
      <c r="D231" s="10" t="inlineStr">
        <is>
          <t>通路</t>
        </is>
      </c>
      <c r="E231" s="11" t="inlineStr">
        <is>
          <t>合規</t>
        </is>
      </c>
      <c r="F231" s="11" t="inlineStr">
        <is>
          <t>產業媒體</t>
        </is>
      </c>
      <c r="G231" s="10" t="inlineStr">
        <is>
          <t>L0</t>
        </is>
      </c>
      <c r="H231" s="9" t="inlineStr">
        <is>
          <t>P1</t>
        </is>
      </c>
    </row>
    <row r="232">
      <c r="A232" s="7" t="inlineStr">
        <is>
          <t>A11-12</t>
        </is>
      </c>
      <c r="B232" s="7" t="inlineStr">
        <is>
          <t>A11 通路與經銷商</t>
        </is>
      </c>
      <c r="C232" s="8" t="inlineStr">
        <is>
          <t>一張話術卡：三分鐘講完一個定位輔具</t>
        </is>
      </c>
      <c r="D232" s="7" t="inlineStr">
        <is>
          <t>通路</t>
        </is>
      </c>
      <c r="E232" s="8" t="inlineStr">
        <is>
          <t>工具</t>
        </is>
      </c>
      <c r="F232" s="8" t="inlineStr">
        <is>
          <t>產業媒體</t>
        </is>
      </c>
      <c r="G232" s="7" t="inlineStr">
        <is>
          <t>L2</t>
        </is>
      </c>
      <c r="H232" s="9" t="inlineStr">
        <is>
          <t>P1</t>
        </is>
      </c>
    </row>
    <row r="233">
      <c r="A233" s="10" t="inlineStr">
        <is>
          <t>A11-13</t>
        </is>
      </c>
      <c r="B233" s="10" t="inlineStr">
        <is>
          <t>A11 通路與經銷商</t>
        </is>
      </c>
      <c r="C233" s="11" t="inlineStr">
        <is>
          <t>客人問「這會不會不準」，怎麼回才不會翻車</t>
        </is>
      </c>
      <c r="D233" s="10" t="inlineStr">
        <is>
          <t>通路</t>
        </is>
      </c>
      <c r="E233" s="11" t="inlineStr">
        <is>
          <t>話術</t>
        </is>
      </c>
      <c r="F233" s="11" t="inlineStr">
        <is>
          <t>產業媒體</t>
        </is>
      </c>
      <c r="G233" s="10" t="inlineStr">
        <is>
          <t>L2</t>
        </is>
      </c>
      <c r="H233" s="9" t="inlineStr">
        <is>
          <t>P1</t>
        </is>
      </c>
    </row>
    <row r="234">
      <c r="A234" s="7" t="inlineStr">
        <is>
          <t>A11-14</t>
        </is>
      </c>
      <c r="B234" s="7" t="inlineStr">
        <is>
          <t>A11 通路與經銷商</t>
        </is>
      </c>
      <c r="C234" s="8" t="inlineStr">
        <is>
          <t>客人問「跟 AirTag 差在哪」，怎麼回</t>
        </is>
      </c>
      <c r="D234" s="7" t="inlineStr">
        <is>
          <t>通路</t>
        </is>
      </c>
      <c r="E234" s="8" t="inlineStr">
        <is>
          <t>話術</t>
        </is>
      </c>
      <c r="F234" s="8" t="inlineStr">
        <is>
          <t>產業媒體</t>
        </is>
      </c>
      <c r="G234" s="7" t="inlineStr">
        <is>
          <t>L2</t>
        </is>
      </c>
      <c r="H234" s="9" t="inlineStr">
        <is>
          <t>P1</t>
        </is>
      </c>
    </row>
    <row r="235">
      <c r="A235" s="10" t="inlineStr">
        <is>
          <t>A11-15</t>
        </is>
      </c>
      <c r="B235" s="10" t="inlineStr">
        <is>
          <t>A11 通路與經銷商</t>
        </is>
      </c>
      <c r="C235" s="11" t="inlineStr">
        <is>
          <t>客人拿不到補助怎麼辦：自費方案怎麼談</t>
        </is>
      </c>
      <c r="D235" s="10" t="inlineStr">
        <is>
          <t>通路</t>
        </is>
      </c>
      <c r="E235" s="11" t="inlineStr">
        <is>
          <t>話術</t>
        </is>
      </c>
      <c r="F235" s="11" t="inlineStr">
        <is>
          <t>產業媒體</t>
        </is>
      </c>
      <c r="G235" s="10" t="inlineStr">
        <is>
          <t>L1</t>
        </is>
      </c>
      <c r="H235" s="10" t="inlineStr">
        <is>
          <t>P2</t>
        </is>
      </c>
    </row>
    <row r="236">
      <c r="A236" s="7" t="inlineStr">
        <is>
          <t>A11-16</t>
        </is>
      </c>
      <c r="B236" s="7" t="inlineStr">
        <is>
          <t>A11 通路與經銷商</t>
        </is>
      </c>
      <c r="C236" s="8" t="inlineStr">
        <is>
          <t>退貨、保固、換新的通路責任界線</t>
        </is>
      </c>
      <c r="D236" s="7" t="inlineStr">
        <is>
          <t>通路</t>
        </is>
      </c>
      <c r="E236" s="8" t="inlineStr">
        <is>
          <t>風險</t>
        </is>
      </c>
      <c r="F236" s="8" t="inlineStr">
        <is>
          <t>產業媒體</t>
        </is>
      </c>
      <c r="G236" s="7" t="inlineStr">
        <is>
          <t>L1</t>
        </is>
      </c>
      <c r="H236" s="7" t="inlineStr">
        <is>
          <t>P2</t>
        </is>
      </c>
    </row>
    <row r="237">
      <c r="A237" s="10" t="inlineStr">
        <is>
          <t>A11-17</t>
        </is>
      </c>
      <c r="B237" s="10" t="inlineStr">
        <is>
          <t>A11 通路與經銷商</t>
        </is>
      </c>
      <c r="C237" s="11" t="inlineStr">
        <is>
          <t>展示機與體驗設計：怎麼讓長輩願意試</t>
        </is>
      </c>
      <c r="D237" s="10" t="inlineStr">
        <is>
          <t>通路</t>
        </is>
      </c>
      <c r="E237" s="11" t="inlineStr">
        <is>
          <t>實務</t>
        </is>
      </c>
      <c r="F237" s="11" t="inlineStr">
        <is>
          <t>產業媒體</t>
        </is>
      </c>
      <c r="G237" s="10" t="inlineStr">
        <is>
          <t>L2</t>
        </is>
      </c>
      <c r="H237" s="10" t="inlineStr">
        <is>
          <t>P2</t>
        </is>
      </c>
    </row>
    <row r="238">
      <c r="A238" s="7" t="inlineStr">
        <is>
          <t>A11-18</t>
        </is>
      </c>
      <c r="B238" s="7" t="inlineStr">
        <is>
          <t>A11 通路與經銷商</t>
        </is>
      </c>
      <c r="C238" s="8" t="inlineStr">
        <is>
          <t>庫存與尺寸備貨的邏輯</t>
        </is>
      </c>
      <c r="D238" s="7" t="inlineStr">
        <is>
          <t>通路</t>
        </is>
      </c>
      <c r="E238" s="8" t="inlineStr">
        <is>
          <t>實務</t>
        </is>
      </c>
      <c r="F238" s="8" t="inlineStr">
        <is>
          <t>產業媒體</t>
        </is>
      </c>
      <c r="G238" s="7" t="inlineStr">
        <is>
          <t>L2</t>
        </is>
      </c>
      <c r="H238" s="7" t="inlineStr">
        <is>
          <t>P3</t>
        </is>
      </c>
    </row>
    <row r="239">
      <c r="A239" s="10" t="inlineStr">
        <is>
          <t>A11-19</t>
        </is>
      </c>
      <c r="B239" s="10" t="inlineStr">
        <is>
          <t>A11 通路與經銷商</t>
        </is>
      </c>
      <c r="C239" s="11" t="inlineStr">
        <is>
          <t>同業都怎麼談分潤（產業通則）</t>
        </is>
      </c>
      <c r="D239" s="10" t="inlineStr">
        <is>
          <t>通路</t>
        </is>
      </c>
      <c r="E239" s="11" t="inlineStr">
        <is>
          <t>生意</t>
        </is>
      </c>
      <c r="F239" s="11" t="inlineStr">
        <is>
          <t>產業媒體</t>
        </is>
      </c>
      <c r="G239" s="10" t="inlineStr">
        <is>
          <t>L0</t>
        </is>
      </c>
      <c r="H239" s="10" t="inlineStr">
        <is>
          <t>P2</t>
        </is>
      </c>
    </row>
    <row r="240">
      <c r="A240" s="7" t="inlineStr">
        <is>
          <t>A11-20</t>
        </is>
      </c>
      <c r="B240" s="7" t="inlineStr">
        <is>
          <t>A11 通路與經銷商</t>
        </is>
      </c>
      <c r="C240" s="8" t="inlineStr">
        <is>
          <t>加入代理前該問廠商的 12 個問題</t>
        </is>
      </c>
      <c r="D240" s="7" t="inlineStr">
        <is>
          <t>通路</t>
        </is>
      </c>
      <c r="E240" s="8" t="inlineStr">
        <is>
          <t>工具（招募主力）</t>
        </is>
      </c>
      <c r="F240" s="8" t="inlineStr">
        <is>
          <t>產業媒體／LinkedIn</t>
        </is>
      </c>
      <c r="G240" s="7" t="inlineStr">
        <is>
          <t>L2</t>
        </is>
      </c>
      <c r="H240" s="9" t="inlineStr">
        <is>
          <t>P1</t>
        </is>
      </c>
    </row>
    <row r="241">
      <c r="A241" s="10" t="inlineStr">
        <is>
          <t>A11-21</t>
        </is>
      </c>
      <c r="B241" s="10" t="inlineStr">
        <is>
          <t>A11 通路與經銷商</t>
        </is>
      </c>
      <c r="C241" s="11" t="inlineStr">
        <is>
          <t>清消間要幾坪？做租賃的實體門檻全解析</t>
        </is>
      </c>
      <c r="D241" s="10" t="inlineStr">
        <is>
          <t>通路</t>
        </is>
      </c>
      <c r="E241" s="11" t="inlineStr">
        <is>
          <t>具體門檻</t>
        </is>
      </c>
      <c r="F241" s="11" t="inlineStr">
        <is>
          <t>部落格／產業媒體</t>
        </is>
      </c>
      <c r="G241" s="10" t="inlineStr">
        <is>
          <t>L1</t>
        </is>
      </c>
      <c r="H241" s="9" t="inlineStr">
        <is>
          <t>P1</t>
        </is>
      </c>
    </row>
    <row r="242">
      <c r="A242" s="7" t="inlineStr">
        <is>
          <t>A11-22</t>
        </is>
      </c>
      <c r="B242" s="7" t="inlineStr">
        <is>
          <t>A11 通路與經銷商</t>
        </is>
      </c>
      <c r="C242" s="8" t="inlineStr">
        <is>
          <t>「限租賃」類別裡的購置例外是怎麼回事</t>
        </is>
      </c>
      <c r="D242" s="7" t="inlineStr">
        <is>
          <t>通路／家屬</t>
        </is>
      </c>
      <c r="E242" s="8" t="inlineStr">
        <is>
          <t>制度冷知識</t>
        </is>
      </c>
      <c r="F242" s="8" t="inlineStr">
        <is>
          <t>部落格</t>
        </is>
      </c>
      <c r="G242" s="7" t="inlineStr">
        <is>
          <t>L1</t>
        </is>
      </c>
      <c r="H242" s="9" t="inlineStr">
        <is>
          <t>P1</t>
        </is>
      </c>
    </row>
    <row r="243">
      <c r="A243" s="10" t="inlineStr">
        <is>
          <t>A11-23</t>
        </is>
      </c>
      <c r="B243" s="10" t="inlineStr">
        <is>
          <t>A11 通路與經銷商</t>
        </is>
      </c>
      <c r="C243" s="11" t="inlineStr">
        <is>
          <t>核銷退件的常見原因（通路端視角）</t>
        </is>
      </c>
      <c r="D243" s="10" t="inlineStr">
        <is>
          <t>通路</t>
        </is>
      </c>
      <c r="E243" s="11" t="inlineStr">
        <is>
          <t>高頻雷點</t>
        </is>
      </c>
      <c r="F243" s="11" t="inlineStr">
        <is>
          <t>產業媒體</t>
        </is>
      </c>
      <c r="G243" s="10" t="inlineStr">
        <is>
          <t>L1</t>
        </is>
      </c>
      <c r="H243" s="9" t="inlineStr">
        <is>
          <t>P1</t>
        </is>
      </c>
    </row>
    <row r="244">
      <c r="A244" s="7" t="inlineStr">
        <is>
          <t>A11-24</t>
        </is>
      </c>
      <c r="B244" s="7" t="inlineStr">
        <is>
          <t>A11 通路與經銷商</t>
        </is>
      </c>
      <c r="C244" s="8" t="inlineStr">
        <is>
          <t>同一個碼別下，租賃品與購置品的生意差在哪</t>
        </is>
      </c>
      <c r="D244" s="7" t="inlineStr">
        <is>
          <t>通路</t>
        </is>
      </c>
      <c r="E244" s="8" t="inlineStr">
        <is>
          <t>算帳</t>
        </is>
      </c>
      <c r="F244" s="8" t="inlineStr">
        <is>
          <t>LinkedIn</t>
        </is>
      </c>
      <c r="G244" s="7" t="inlineStr">
        <is>
          <t>L1</t>
        </is>
      </c>
      <c r="H244" s="9" t="inlineStr">
        <is>
          <t>P1</t>
        </is>
      </c>
    </row>
    <row r="245">
      <c r="A245" s="10" t="inlineStr">
        <is>
          <t>A11-25</t>
        </is>
      </c>
      <c r="B245" s="10" t="inlineStr">
        <is>
          <t>A11 通路與經銷商</t>
        </is>
      </c>
      <c r="C245" s="11" t="inlineStr">
        <is>
          <t>通路賣的是系統還是單品？兩種生意的差別</t>
        </is>
      </c>
      <c r="D245" s="10" t="inlineStr">
        <is>
          <t>通路</t>
        </is>
      </c>
      <c r="E245" s="11" t="inlineStr">
        <is>
          <t>重新定位</t>
        </is>
      </c>
      <c r="F245" s="11" t="inlineStr">
        <is>
          <t>LinkedIn</t>
        </is>
      </c>
      <c r="G245" s="10" t="inlineStr">
        <is>
          <t>L2</t>
        </is>
      </c>
      <c r="H245" s="9" t="inlineStr">
        <is>
          <t>P1</t>
        </is>
      </c>
    </row>
    <row r="246">
      <c r="A246" s="7" t="inlineStr">
        <is>
          <t>A12-01</t>
        </is>
      </c>
      <c r="B246" s="7" t="inlineStr">
        <is>
          <t>A12 政策與制度解讀</t>
        </is>
      </c>
      <c r="C246" s="8" t="inlineStr">
        <is>
          <t>長照 3.0 智慧科技輔具全租賃新制：一次看懂</t>
        </is>
      </c>
      <c r="D246" s="7" t="inlineStr">
        <is>
          <t>全</t>
        </is>
      </c>
      <c r="E246" s="8" t="inlineStr">
        <is>
          <t>政策</t>
        </is>
      </c>
      <c r="F246" s="8" t="inlineStr">
        <is>
          <t>部落格</t>
        </is>
      </c>
      <c r="G246" s="7" t="inlineStr">
        <is>
          <t>L0</t>
        </is>
      </c>
      <c r="H246" s="9" t="inlineStr">
        <is>
          <t>P1</t>
        </is>
      </c>
    </row>
    <row r="247">
      <c r="A247" s="10" t="inlineStr">
        <is>
          <t>A12-02</t>
        </is>
      </c>
      <c r="B247" s="10" t="inlineStr">
        <is>
          <t>A12 政策與制度解讀</t>
        </is>
      </c>
      <c r="C247" s="11" t="inlineStr">
        <is>
          <t>4 萬 vs 6 萬：兩組額度怎麼選（決策樹）</t>
        </is>
      </c>
      <c r="D247" s="10" t="inlineStr">
        <is>
          <t>家屬</t>
        </is>
      </c>
      <c r="E247" s="11" t="inlineStr">
        <is>
          <t>最高優先</t>
        </is>
      </c>
      <c r="F247" s="11" t="inlineStr">
        <is>
          <t>部落格／IG</t>
        </is>
      </c>
      <c r="G247" s="10" t="inlineStr">
        <is>
          <t>L1</t>
        </is>
      </c>
      <c r="H247" s="9" t="inlineStr">
        <is>
          <t>P1</t>
        </is>
      </c>
    </row>
    <row r="248">
      <c r="A248" s="7" t="inlineStr">
        <is>
          <t>A12-03</t>
        </is>
      </c>
      <c r="B248" s="7" t="inlineStr">
        <is>
          <t>A12 政策與制度解讀</t>
        </is>
      </c>
      <c r="C248" s="8" t="inlineStr">
        <is>
          <t>「二擇一」的隱藏代價：選錯鎖三年</t>
        </is>
      </c>
      <c r="D248" s="7" t="inlineStr">
        <is>
          <t>家屬</t>
        </is>
      </c>
      <c r="E248" s="8" t="inlineStr">
        <is>
          <t>警示</t>
        </is>
      </c>
      <c r="F248" s="8" t="inlineStr">
        <is>
          <t>Threads／部落格</t>
        </is>
      </c>
      <c r="G248" s="7" t="inlineStr">
        <is>
          <t>L1</t>
        </is>
      </c>
      <c r="H248" s="9" t="inlineStr">
        <is>
          <t>P1</t>
        </is>
      </c>
    </row>
    <row r="249">
      <c r="A249" s="10" t="inlineStr">
        <is>
          <t>A12-04</t>
        </is>
      </c>
      <c r="B249" s="10" t="inlineStr">
        <is>
          <t>A12 政策與制度解讀</t>
        </is>
      </c>
      <c r="C249" s="11" t="inlineStr">
        <is>
          <t>首批通過審議的智慧輔具有哪些、分別解決什麼</t>
        </is>
      </c>
      <c r="D249" s="10" t="inlineStr">
        <is>
          <t>全</t>
        </is>
      </c>
      <c r="E249" s="11" t="inlineStr">
        <is>
          <t>資訊</t>
        </is>
      </c>
      <c r="F249" s="11" t="inlineStr">
        <is>
          <t>部落格</t>
        </is>
      </c>
      <c r="G249" s="10" t="inlineStr">
        <is>
          <t>L2</t>
        </is>
      </c>
      <c r="H249" s="9" t="inlineStr">
        <is>
          <t>P1</t>
        </is>
      </c>
    </row>
    <row r="250">
      <c r="A250" s="7" t="inlineStr">
        <is>
          <t>A12-05</t>
        </is>
      </c>
      <c r="B250" s="7" t="inlineStr">
        <is>
          <t>A12 政策與制度解讀</t>
        </is>
      </c>
      <c r="C250" s="8" t="inlineStr">
        <is>
          <t>產品怎麼進入給付清單：廠商端的審議流程</t>
        </is>
      </c>
      <c r="D250" s="7" t="inlineStr">
        <is>
          <t>通路／同業</t>
        </is>
      </c>
      <c r="E250" s="8" t="inlineStr">
        <is>
          <t>專業</t>
        </is>
      </c>
      <c r="F250" s="8" t="inlineStr">
        <is>
          <t>產業媒體</t>
        </is>
      </c>
      <c r="G250" s="7" t="inlineStr">
        <is>
          <t>L1</t>
        </is>
      </c>
      <c r="H250" s="7" t="inlineStr">
        <is>
          <t>P2</t>
        </is>
      </c>
    </row>
    <row r="251">
      <c r="A251" s="10" t="inlineStr">
        <is>
          <t>A12-06</t>
        </is>
      </c>
      <c r="B251" s="10" t="inlineStr">
        <is>
          <t>A12 政策與制度解讀</t>
        </is>
      </c>
      <c r="C251" s="11" t="inlineStr">
        <is>
          <t>給付碼別怎麼讀，以及怎麼自己去資料庫查</t>
        </is>
      </c>
      <c r="D251" s="10" t="inlineStr">
        <is>
          <t>家屬</t>
        </is>
      </c>
      <c r="E251" s="11" t="inlineStr">
        <is>
          <t>教學</t>
        </is>
      </c>
      <c r="F251" s="11" t="inlineStr">
        <is>
          <t>部落格／影片</t>
        </is>
      </c>
      <c r="G251" s="10" t="inlineStr">
        <is>
          <t>L2</t>
        </is>
      </c>
      <c r="H251" s="9" t="inlineStr">
        <is>
          <t>P1</t>
        </is>
      </c>
    </row>
    <row r="252">
      <c r="A252" s="7" t="inlineStr">
        <is>
          <t>A12-07</t>
        </is>
      </c>
      <c r="B252" s="7" t="inlineStr">
        <is>
          <t>A12 政策與制度解讀</t>
        </is>
      </c>
      <c r="C252" s="8" t="inlineStr">
        <is>
          <t>甲類輔具評估人員是誰、他能決定什麼、不能決定什麼</t>
        </is>
      </c>
      <c r="D252" s="7" t="inlineStr">
        <is>
          <t>家屬</t>
        </is>
      </c>
      <c r="E252" s="8" t="inlineStr">
        <is>
          <t>觀念</t>
        </is>
      </c>
      <c r="F252" s="8" t="inlineStr">
        <is>
          <t>部落格</t>
        </is>
      </c>
      <c r="G252" s="7" t="inlineStr">
        <is>
          <t>L0</t>
        </is>
      </c>
      <c r="H252" s="9" t="inlineStr">
        <is>
          <t>P1</t>
        </is>
      </c>
    </row>
    <row r="253">
      <c r="A253" s="10" t="inlineStr">
        <is>
          <t>A12-08</t>
        </is>
      </c>
      <c r="B253" s="10" t="inlineStr">
        <is>
          <t>A12 政策與制度解讀</t>
        </is>
      </c>
      <c r="C253" s="11" t="inlineStr">
        <is>
          <t>CMS 長照需要等級怎麼評，第 2 級是什麼概念</t>
        </is>
      </c>
      <c r="D253" s="10" t="inlineStr">
        <is>
          <t>家屬</t>
        </is>
      </c>
      <c r="E253" s="11" t="inlineStr">
        <is>
          <t>科普</t>
        </is>
      </c>
      <c r="F253" s="11" t="inlineStr">
        <is>
          <t>部落格</t>
        </is>
      </c>
      <c r="G253" s="10" t="inlineStr">
        <is>
          <t>L0</t>
        </is>
      </c>
      <c r="H253" s="9" t="inlineStr">
        <is>
          <t>P1</t>
        </is>
      </c>
    </row>
    <row r="254">
      <c r="A254" s="7" t="inlineStr">
        <is>
          <t>A12-09</t>
        </is>
      </c>
      <c r="B254" s="7" t="inlineStr">
        <is>
          <t>A12 政策與制度解讀</t>
        </is>
      </c>
      <c r="C254" s="8" t="inlineStr">
        <is>
          <t>輕度失智可能評不到 2 級：制度的灰色地帶</t>
        </is>
      </c>
      <c r="D254" s="7" t="inlineStr">
        <is>
          <t>家屬／公共</t>
        </is>
      </c>
      <c r="E254" s="8" t="inlineStr">
        <is>
          <t>議題</t>
        </is>
      </c>
      <c r="F254" s="8" t="inlineStr">
        <is>
          <t>投書／Threads</t>
        </is>
      </c>
      <c r="G254" s="7" t="inlineStr">
        <is>
          <t>L0</t>
        </is>
      </c>
      <c r="H254" s="9" t="inlineStr">
        <is>
          <t>P1</t>
        </is>
      </c>
    </row>
    <row r="255">
      <c r="A255" s="10" t="inlineStr">
        <is>
          <t>A12-10</t>
        </is>
      </c>
      <c r="B255" s="10" t="inlineStr">
        <is>
          <t>A12 政策與制度解讀</t>
        </is>
      </c>
      <c r="C255" s="11" t="inlineStr">
        <is>
          <t>代償墊付：為什麼一定要經過特約單位</t>
        </is>
      </c>
      <c r="D255" s="10" t="inlineStr">
        <is>
          <t>家屬</t>
        </is>
      </c>
      <c r="E255" s="11" t="inlineStr">
        <is>
          <t>觀念</t>
        </is>
      </c>
      <c r="F255" s="11" t="inlineStr">
        <is>
          <t>部落格</t>
        </is>
      </c>
      <c r="G255" s="10" t="inlineStr">
        <is>
          <t>L1</t>
        </is>
      </c>
      <c r="H255" s="10" t="inlineStr">
        <is>
          <t>P2</t>
        </is>
      </c>
    </row>
    <row r="256">
      <c r="A256" s="7" t="inlineStr">
        <is>
          <t>A12-11</t>
        </is>
      </c>
      <c r="B256" s="7" t="inlineStr">
        <is>
          <t>A12 政策與制度解讀</t>
        </is>
      </c>
      <c r="C256" s="8" t="inlineStr">
        <is>
          <t>部分負擔 0%／10%／30% 怎麼算，實付差多少</t>
        </is>
      </c>
      <c r="D256" s="7" t="inlineStr">
        <is>
          <t>家屬</t>
        </is>
      </c>
      <c r="E256" s="8" t="inlineStr">
        <is>
          <t>試算</t>
        </is>
      </c>
      <c r="F256" s="8" t="inlineStr">
        <is>
          <t>部落格</t>
        </is>
      </c>
      <c r="G256" s="7" t="inlineStr">
        <is>
          <t>L1</t>
        </is>
      </c>
      <c r="H256" s="9" t="inlineStr">
        <is>
          <t>P1</t>
        </is>
      </c>
    </row>
    <row r="257">
      <c r="A257" s="10" t="inlineStr">
        <is>
          <t>A12-12</t>
        </is>
      </c>
      <c r="B257" s="10" t="inlineStr">
        <is>
          <t>A12 政策與制度解讀</t>
        </is>
      </c>
      <c r="C257" s="11" t="inlineStr">
        <is>
          <t>核定後 6 個月效期：時間怎麼抓才不會過期</t>
        </is>
      </c>
      <c r="D257" s="10" t="inlineStr">
        <is>
          <t>家屬</t>
        </is>
      </c>
      <c r="E257" s="11" t="inlineStr">
        <is>
          <t>實務</t>
        </is>
      </c>
      <c r="F257" s="11" t="inlineStr">
        <is>
          <t>部落格</t>
        </is>
      </c>
      <c r="G257" s="10" t="inlineStr">
        <is>
          <t>L1</t>
        </is>
      </c>
      <c r="H257" s="10" t="inlineStr">
        <is>
          <t>P2</t>
        </is>
      </c>
    </row>
    <row r="258">
      <c r="A258" s="7" t="inlineStr">
        <is>
          <t>A12-13</t>
        </is>
      </c>
      <c r="B258" s="7" t="inlineStr">
        <is>
          <t>A12 政策與制度解讀</t>
        </is>
      </c>
      <c r="C258" s="8" t="inlineStr">
        <is>
          <t>原住民地區與離島的加計與免部分負擔規定</t>
        </is>
      </c>
      <c r="D258" s="7" t="inlineStr">
        <is>
          <t>家屬</t>
        </is>
      </c>
      <c r="E258" s="8" t="inlineStr">
        <is>
          <t>在地</t>
        </is>
      </c>
      <c r="F258" s="8" t="inlineStr">
        <is>
          <t>部落格</t>
        </is>
      </c>
      <c r="G258" s="7" t="inlineStr">
        <is>
          <t>L1</t>
        </is>
      </c>
      <c r="H258" s="7" t="inlineStr">
        <is>
          <t>P3</t>
        </is>
      </c>
    </row>
    <row r="259">
      <c r="A259" s="10" t="inlineStr">
        <is>
          <t>A12-14</t>
        </is>
      </c>
      <c r="B259" s="10" t="inlineStr">
        <is>
          <t>A12 政策與制度解讀</t>
        </is>
      </c>
      <c r="C259" s="11" t="inlineStr">
        <is>
          <t>住宿機構照顧品質獎勵計畫：機構端怎麼申請</t>
        </is>
      </c>
      <c r="D259" s="10" t="inlineStr">
        <is>
          <t>機構</t>
        </is>
      </c>
      <c r="E259" s="11" t="inlineStr">
        <is>
          <t>政策</t>
        </is>
      </c>
      <c r="F259" s="11" t="inlineStr">
        <is>
          <t>產業媒體</t>
        </is>
      </c>
      <c r="G259" s="10" t="inlineStr">
        <is>
          <t>L1</t>
        </is>
      </c>
      <c r="H259" s="9" t="inlineStr">
        <is>
          <t>P1</t>
        </is>
      </c>
    </row>
    <row r="260">
      <c r="A260" s="7" t="inlineStr">
        <is>
          <t>A12-15</t>
        </is>
      </c>
      <c r="B260" s="7" t="inlineStr">
        <is>
          <t>A12 政策與制度解讀</t>
        </is>
      </c>
      <c r="C260" s="8" t="inlineStr">
        <is>
          <t>智慧輔助照顧科技的五項指標與涵蓋率門檻</t>
        </is>
      </c>
      <c r="D260" s="7" t="inlineStr">
        <is>
          <t>機構</t>
        </is>
      </c>
      <c r="E260" s="8" t="inlineStr">
        <is>
          <t>專業</t>
        </is>
      </c>
      <c r="F260" s="8" t="inlineStr">
        <is>
          <t>產業媒體</t>
        </is>
      </c>
      <c r="G260" s="7" t="inlineStr">
        <is>
          <t>L2</t>
        </is>
      </c>
      <c r="H260" s="9" t="inlineStr">
        <is>
          <t>P1</t>
        </is>
      </c>
    </row>
    <row r="261">
      <c r="A261" s="10" t="inlineStr">
        <is>
          <t>A12-16</t>
        </is>
      </c>
      <c r="B261" s="10" t="inlineStr">
        <is>
          <t>A12 政策與制度解讀</t>
        </is>
      </c>
      <c r="C261" s="11" t="inlineStr">
        <is>
          <t>失智症政策綱領 3.0：跨 12 部會是哪些、跟你有什麼關係</t>
        </is>
      </c>
      <c r="D261" s="10" t="inlineStr">
        <is>
          <t>公共</t>
        </is>
      </c>
      <c r="E261" s="11" t="inlineStr">
        <is>
          <t>政策</t>
        </is>
      </c>
      <c r="F261" s="11" t="inlineStr">
        <is>
          <t>投書／部落格</t>
        </is>
      </c>
      <c r="G261" s="10" t="inlineStr">
        <is>
          <t>L0</t>
        </is>
      </c>
      <c r="H261" s="10" t="inlineStr">
        <is>
          <t>P3</t>
        </is>
      </c>
    </row>
    <row r="262">
      <c r="A262" s="7" t="inlineStr">
        <is>
          <t>A12-17</t>
        </is>
      </c>
      <c r="B262" s="7" t="inlineStr">
        <is>
          <t>A12 政策與制度解讀</t>
        </is>
      </c>
      <c r="C262" s="8" t="inlineStr">
        <is>
          <t>《失智症基本法》草案在吵什麼</t>
        </is>
      </c>
      <c r="D262" s="7" t="inlineStr">
        <is>
          <t>公共</t>
        </is>
      </c>
      <c r="E262" s="8" t="inlineStr">
        <is>
          <t>議題</t>
        </is>
      </c>
      <c r="F262" s="8" t="inlineStr">
        <is>
          <t>投書</t>
        </is>
      </c>
      <c r="G262" s="7" t="inlineStr">
        <is>
          <t>L0</t>
        </is>
      </c>
      <c r="H262" s="7" t="inlineStr">
        <is>
          <t>P3</t>
        </is>
      </c>
    </row>
    <row r="263">
      <c r="A263" s="10" t="inlineStr">
        <is>
          <t>A12-18</t>
        </is>
      </c>
      <c r="B263" s="10" t="inlineStr">
        <is>
          <t>A12 政策與制度解讀</t>
        </is>
      </c>
      <c r="C263" s="11" t="inlineStr">
        <is>
          <t>年輕型失智納入長照，實務上怎麼跑</t>
        </is>
      </c>
      <c r="D263" s="10" t="inlineStr">
        <is>
          <t>家屬</t>
        </is>
      </c>
      <c r="E263" s="11" t="inlineStr">
        <is>
          <t>政策</t>
        </is>
      </c>
      <c r="F263" s="11" t="inlineStr">
        <is>
          <t>部落格</t>
        </is>
      </c>
      <c r="G263" s="10" t="inlineStr">
        <is>
          <t>L0</t>
        </is>
      </c>
      <c r="H263" s="10" t="inlineStr">
        <is>
          <t>P2</t>
        </is>
      </c>
    </row>
    <row r="264">
      <c r="A264" s="7" t="inlineStr">
        <is>
          <t>A12-19</t>
        </is>
      </c>
      <c r="B264" s="7" t="inlineStr">
        <is>
          <t>A12 政策與制度解讀</t>
        </is>
      </c>
      <c r="C264" s="8" t="inlineStr">
        <is>
          <t>出院準備服務：醫院怎麼在 24 小時內找上你</t>
        </is>
      </c>
      <c r="D264" s="7" t="inlineStr">
        <is>
          <t>家屬</t>
        </is>
      </c>
      <c r="E264" s="8" t="inlineStr">
        <is>
          <t>資訊</t>
        </is>
      </c>
      <c r="F264" s="8" t="inlineStr">
        <is>
          <t>部落格</t>
        </is>
      </c>
      <c r="G264" s="7" t="inlineStr">
        <is>
          <t>L0</t>
        </is>
      </c>
      <c r="H264" s="9" t="inlineStr">
        <is>
          <t>P1</t>
        </is>
      </c>
    </row>
    <row r="265">
      <c r="A265" s="10" t="inlineStr">
        <is>
          <t>A12-20</t>
        </is>
      </c>
      <c r="B265" s="10" t="inlineStr">
        <is>
          <t>A12 政策與制度解讀</t>
        </is>
      </c>
      <c r="C265" s="11" t="inlineStr">
        <is>
          <t>政策每年都在改，家屬要怎麼追（訂閱來源清單）</t>
        </is>
      </c>
      <c r="D265" s="10" t="inlineStr">
        <is>
          <t>家屬</t>
        </is>
      </c>
      <c r="E265" s="11" t="inlineStr">
        <is>
          <t>工具</t>
        </is>
      </c>
      <c r="F265" s="11" t="inlineStr">
        <is>
          <t>部落格</t>
        </is>
      </c>
      <c r="G265" s="10" t="inlineStr">
        <is>
          <t>L0</t>
        </is>
      </c>
      <c r="H265" s="10" t="inlineStr">
        <is>
          <t>P2</t>
        </is>
      </c>
    </row>
    <row r="266">
      <c r="A266" s="7" t="inlineStr">
        <is>
          <t>A13-01</t>
        </is>
      </c>
      <c r="B266" s="7" t="inlineStr">
        <is>
          <t>A13 品類失敗與社會觀察</t>
        </is>
      </c>
      <c r="C266" s="8" t="inlineStr">
        <is>
          <t>一座城市三年只賣出一百多台定位器，為什麼</t>
        </is>
      </c>
      <c r="D266" s="7" t="inlineStr">
        <is>
          <t>公共</t>
        </is>
      </c>
      <c r="E266" s="8" t="inlineStr">
        <is>
          <t>數據帖</t>
        </is>
      </c>
      <c r="F266" s="8" t="inlineStr">
        <is>
          <t>Threads／投書</t>
        </is>
      </c>
      <c r="G266" s="7" t="inlineStr">
        <is>
          <t>L0</t>
        </is>
      </c>
      <c r="H266" s="9" t="inlineStr">
        <is>
          <t>P1</t>
        </is>
      </c>
    </row>
    <row r="267">
      <c r="A267" s="10" t="inlineStr">
        <is>
          <t>A13-02</t>
        </is>
      </c>
      <c r="B267" s="10" t="inlineStr">
        <is>
          <t>A13 品類失敗與社會觀察</t>
        </is>
      </c>
      <c r="C267" s="11" t="inlineStr">
        <is>
          <t>免費的識別手鍊推了 25 年，滲透率仍不到一成</t>
        </is>
      </c>
      <c r="D267" s="10" t="inlineStr">
        <is>
          <t>公共</t>
        </is>
      </c>
      <c r="E267" s="11" t="inlineStr">
        <is>
          <t>數據帖</t>
        </is>
      </c>
      <c r="F267" s="11" t="inlineStr">
        <is>
          <t>Threads／投書</t>
        </is>
      </c>
      <c r="G267" s="10" t="inlineStr">
        <is>
          <t>L0</t>
        </is>
      </c>
      <c r="H267" s="9" t="inlineStr">
        <is>
          <t>P1</t>
        </is>
      </c>
    </row>
    <row r="268">
      <c r="A268" s="7" t="inlineStr">
        <is>
          <t>A13-03</t>
        </is>
      </c>
      <c r="B268" s="7" t="inlineStr">
        <is>
          <t>A13 品類失敗與社會觀察</t>
        </is>
      </c>
      <c r="C268" s="8" t="inlineStr">
        <is>
          <t>「我沒有失智」——被標籤化的抗拒</t>
        </is>
      </c>
      <c r="D268" s="7" t="inlineStr">
        <is>
          <t>公共</t>
        </is>
      </c>
      <c r="E268" s="8" t="inlineStr">
        <is>
          <t>洞察</t>
        </is>
      </c>
      <c r="F268" s="8" t="inlineStr">
        <is>
          <t>Threads</t>
        </is>
      </c>
      <c r="G268" s="7" t="inlineStr">
        <is>
          <t>L0</t>
        </is>
      </c>
      <c r="H268" s="9" t="inlineStr">
        <is>
          <t>P1</t>
        </is>
      </c>
    </row>
    <row r="269">
      <c r="A269" s="10" t="inlineStr">
        <is>
          <t>A13-04</t>
        </is>
      </c>
      <c r="B269" s="10" t="inlineStr">
        <is>
          <t>A13 品類失敗與社會觀察</t>
        </is>
      </c>
      <c r="C269" s="11" t="inlineStr">
        <is>
          <t>為什麼長輩會把手錶拔掉：三個真實理由</t>
        </is>
      </c>
      <c r="D269" s="10" t="inlineStr">
        <is>
          <t>家屬</t>
        </is>
      </c>
      <c r="E269" s="11" t="inlineStr">
        <is>
          <t>洞察</t>
        </is>
      </c>
      <c r="F269" s="11" t="inlineStr">
        <is>
          <t>Dcard／Threads</t>
        </is>
      </c>
      <c r="G269" s="10" t="inlineStr">
        <is>
          <t>L0</t>
        </is>
      </c>
      <c r="H269" s="9" t="inlineStr">
        <is>
          <t>P1</t>
        </is>
      </c>
    </row>
    <row r="270">
      <c r="A270" s="7" t="inlineStr">
        <is>
          <t>A13-05</t>
        </is>
      </c>
      <c r="B270" s="7" t="inlineStr">
        <is>
          <t>A13 品類失敗與社會觀察</t>
        </is>
      </c>
      <c r="C270" s="8" t="inlineStr">
        <is>
          <t>忘記充電，是使用者的問題還是設計的問題</t>
        </is>
      </c>
      <c r="D270" s="7" t="inlineStr">
        <is>
          <t>公共</t>
        </is>
      </c>
      <c r="E270" s="8" t="inlineStr">
        <is>
          <t>反思</t>
        </is>
      </c>
      <c r="F270" s="8" t="inlineStr">
        <is>
          <t>Threads</t>
        </is>
      </c>
      <c r="G270" s="7" t="inlineStr">
        <is>
          <t>L0</t>
        </is>
      </c>
      <c r="H270" s="7" t="inlineStr">
        <is>
          <t>P2</t>
        </is>
      </c>
    </row>
    <row r="271">
      <c r="A271" s="10" t="inlineStr">
        <is>
          <t>A13-06</t>
        </is>
      </c>
      <c r="B271" s="10" t="inlineStr">
        <is>
          <t>A13 品類失敗與社會觀察</t>
        </is>
      </c>
      <c r="C271" s="11" t="inlineStr">
        <is>
          <t>「有效配戴率」才該是主要指標，不是定位精準度</t>
        </is>
      </c>
      <c r="D271" s="10" t="inlineStr">
        <is>
          <t>公共／3C</t>
        </is>
      </c>
      <c r="E271" s="11" t="inlineStr">
        <is>
          <t>新框架</t>
        </is>
      </c>
      <c r="F271" s="11" t="inlineStr">
        <is>
          <t>Mobile01／產業媒體</t>
        </is>
      </c>
      <c r="G271" s="10" t="inlineStr">
        <is>
          <t>L1</t>
        </is>
      </c>
      <c r="H271" s="9" t="inlineStr">
        <is>
          <t>P1</t>
        </is>
      </c>
    </row>
    <row r="272">
      <c r="A272" s="7" t="inlineStr">
        <is>
          <t>A13-07</t>
        </is>
      </c>
      <c r="B272" s="7" t="inlineStr">
        <is>
          <t>A13 品類失敗與社會觀察</t>
        </is>
      </c>
      <c r="C272" s="8" t="inlineStr">
        <is>
          <t>家屬買了卻沒在用的東西，都放在哪裡</t>
        </is>
      </c>
      <c r="D272" s="7" t="inlineStr">
        <is>
          <t>家屬</t>
        </is>
      </c>
      <c r="E272" s="8" t="inlineStr">
        <is>
          <t>共鳴</t>
        </is>
      </c>
      <c r="F272" s="8" t="inlineStr">
        <is>
          <t>Dcard</t>
        </is>
      </c>
      <c r="G272" s="7" t="inlineStr">
        <is>
          <t>L0</t>
        </is>
      </c>
      <c r="H272" s="7" t="inlineStr">
        <is>
          <t>P2</t>
        </is>
      </c>
    </row>
    <row r="273">
      <c r="A273" s="10" t="inlineStr">
        <is>
          <t>A13-08</t>
        </is>
      </c>
      <c r="B273" s="10" t="inlineStr">
        <is>
          <t>A13 品類失敗與社會觀察</t>
        </is>
      </c>
      <c r="C273" s="11" t="inlineStr">
        <is>
          <t>失智友善社區與科技，各自該負責什麼</t>
        </is>
      </c>
      <c r="D273" s="10" t="inlineStr">
        <is>
          <t>公共</t>
        </is>
      </c>
      <c r="E273" s="11" t="inlineStr">
        <is>
          <t>願景</t>
        </is>
      </c>
      <c r="F273" s="11" t="inlineStr">
        <is>
          <t>投書</t>
        </is>
      </c>
      <c r="G273" s="10" t="inlineStr">
        <is>
          <t>L0</t>
        </is>
      </c>
      <c r="H273" s="10" t="inlineStr">
        <is>
          <t>P3</t>
        </is>
      </c>
    </row>
    <row r="274">
      <c r="A274" s="7" t="inlineStr">
        <is>
          <t>A13-09</t>
        </is>
      </c>
      <c r="B274" s="7" t="inlineStr">
        <is>
          <t>A13 品類失敗與社會觀察</t>
        </is>
      </c>
      <c r="C274" s="8" t="inlineStr">
        <is>
          <t>補助制度的設計，如何反過來決定產品長什麼樣</t>
        </is>
      </c>
      <c r="D274" s="7" t="inlineStr">
        <is>
          <t>公共</t>
        </is>
      </c>
      <c r="E274" s="8" t="inlineStr">
        <is>
          <t>深度</t>
        </is>
      </c>
      <c r="F274" s="8" t="inlineStr">
        <is>
          <t>投書／產業媒體</t>
        </is>
      </c>
      <c r="G274" s="7" t="inlineStr">
        <is>
          <t>L0</t>
        </is>
      </c>
      <c r="H274" s="7" t="inlineStr">
        <is>
          <t>P2</t>
        </is>
      </c>
    </row>
    <row r="275">
      <c r="A275" s="10" t="inlineStr">
        <is>
          <t>A13-10</t>
        </is>
      </c>
      <c r="B275" s="10" t="inlineStr">
        <is>
          <t>A13 品類失敗與社會觀察</t>
        </is>
      </c>
      <c r="C275" s="11" t="inlineStr">
        <is>
          <t>當「防走失」變成一門生意</t>
        </is>
      </c>
      <c r="D275" s="10" t="inlineStr">
        <is>
          <t>公共</t>
        </is>
      </c>
      <c r="E275" s="11" t="inlineStr">
        <is>
          <t>批判</t>
        </is>
      </c>
      <c r="F275" s="11" t="inlineStr">
        <is>
          <t>投書</t>
        </is>
      </c>
      <c r="G275" s="10" t="inlineStr">
        <is>
          <t>L0</t>
        </is>
      </c>
      <c r="H275" s="10" t="inlineStr">
        <is>
          <t>P3</t>
        </is>
      </c>
    </row>
    <row r="276">
      <c r="A276" s="7" t="inlineStr">
        <is>
          <t>A13-11</t>
        </is>
      </c>
      <c r="B276" s="7" t="inlineStr">
        <is>
          <t>A13 品類失敗與社會觀察</t>
        </is>
      </c>
      <c r="C276" s="8" t="inlineStr">
        <is>
          <t>近 40 萬失智人口，市場卻很小——矛盾在哪</t>
        </is>
      </c>
      <c r="D276" s="7" t="inlineStr">
        <is>
          <t>公共</t>
        </is>
      </c>
      <c r="E276" s="8" t="inlineStr">
        <is>
          <t>深度</t>
        </is>
      </c>
      <c r="F276" s="8" t="inlineStr">
        <is>
          <t>投書／產業媒體</t>
        </is>
      </c>
      <c r="G276" s="7" t="inlineStr">
        <is>
          <t>L0</t>
        </is>
      </c>
      <c r="H276" s="9" t="inlineStr">
        <is>
          <t>P1</t>
        </is>
      </c>
    </row>
    <row r="277">
      <c r="A277" s="10" t="inlineStr">
        <is>
          <t>A13-12</t>
        </is>
      </c>
      <c r="B277" s="10" t="inlineStr">
        <is>
          <t>A13 品類失敗與社會觀察</t>
        </is>
      </c>
      <c r="C277" s="11" t="inlineStr">
        <is>
          <t>平安符、鞋墊、防拆帶：整個產業都在繞過同一個問題</t>
        </is>
      </c>
      <c r="D277" s="10" t="inlineStr">
        <is>
          <t>公共</t>
        </is>
      </c>
      <c r="E277" s="11" t="inlineStr">
        <is>
          <t>洞察</t>
        </is>
      </c>
      <c r="F277" s="11" t="inlineStr">
        <is>
          <t>Threads／產業媒體</t>
        </is>
      </c>
      <c r="G277" s="10" t="inlineStr">
        <is>
          <t>L1</t>
        </is>
      </c>
      <c r="H277" s="9" t="inlineStr">
        <is>
          <t>P1</t>
        </is>
      </c>
    </row>
    <row r="278">
      <c r="A278" s="7" t="inlineStr">
        <is>
          <t>A13-13</t>
        </is>
      </c>
      <c r="B278" s="7" t="inlineStr">
        <is>
          <t>A13 品類失敗與社會觀察</t>
        </is>
      </c>
      <c r="C278" s="8" t="inlineStr">
        <is>
          <t>當政府自己做群眾網路：一個縣市的實驗帶來什麼啟示</t>
        </is>
      </c>
      <c r="D278" s="7" t="inlineStr">
        <is>
          <t>公共</t>
        </is>
      </c>
      <c r="E278" s="8" t="inlineStr">
        <is>
          <t>案例</t>
        </is>
      </c>
      <c r="F278" s="8" t="inlineStr">
        <is>
          <t>部落格</t>
        </is>
      </c>
      <c r="G278" s="7" t="inlineStr">
        <is>
          <t>L0</t>
        </is>
      </c>
      <c r="H278" s="7" t="inlineStr">
        <is>
          <t>P2</t>
        </is>
      </c>
    </row>
    <row r="279">
      <c r="A279" s="10" t="inlineStr">
        <is>
          <t>A13-14</t>
        </is>
      </c>
      <c r="B279" s="10" t="inlineStr">
        <is>
          <t>A13 品類失敗與社會觀察</t>
        </is>
      </c>
      <c r="C279" s="11" t="inlineStr">
        <is>
          <t>一個城市要多少節點，群眾網路才真的有用</t>
        </is>
      </c>
      <c r="D279" s="10" t="inlineStr">
        <is>
          <t>3C／公共</t>
        </is>
      </c>
      <c r="E279" s="11" t="inlineStr">
        <is>
          <t>誠實科普</t>
        </is>
      </c>
      <c r="F279" s="11" t="inlineStr">
        <is>
          <t>Mobile01</t>
        </is>
      </c>
      <c r="G279" s="10" t="inlineStr">
        <is>
          <t>L1</t>
        </is>
      </c>
      <c r="H279" s="9" t="inlineStr">
        <is>
          <t>P1</t>
        </is>
      </c>
    </row>
    <row r="280">
      <c r="A280" s="7" t="inlineStr">
        <is>
          <t>A13-15</t>
        </is>
      </c>
      <c r="B280" s="7" t="inlineStr">
        <is>
          <t>A13 品類失敗與社會觀察</t>
        </is>
      </c>
      <c r="C280" s="8" t="inlineStr">
        <is>
          <t>作業系統內建的尋找網路，改變了這個品類什麼</t>
        </is>
      </c>
      <c r="D280" s="7" t="inlineStr">
        <is>
          <t>3C</t>
        </is>
      </c>
      <c r="E280" s="8" t="inlineStr">
        <is>
          <t>技術觀察</t>
        </is>
      </c>
      <c r="F280" s="8" t="inlineStr">
        <is>
          <t>Mobile01</t>
        </is>
      </c>
      <c r="G280" s="7" t="inlineStr">
        <is>
          <t>L1</t>
        </is>
      </c>
      <c r="H280" s="7" t="inlineStr">
        <is>
          <t>P2</t>
        </is>
      </c>
    </row>
    <row r="281">
      <c r="A281" s="10" t="inlineStr">
        <is>
          <t>A13-16</t>
        </is>
      </c>
      <c r="B281" s="10" t="inlineStr">
        <is>
          <t>A13 品類失敗與社會觀察</t>
        </is>
      </c>
      <c r="C281" s="11" t="inlineStr">
        <is>
          <t>「最後被偵測到的位置」在協尋實務上夠不夠用</t>
        </is>
      </c>
      <c r="D281" s="10" t="inlineStr">
        <is>
          <t>公共</t>
        </is>
      </c>
      <c r="E281" s="11" t="inlineStr">
        <is>
          <t>誠實辯論</t>
        </is>
      </c>
      <c r="F281" s="11" t="inlineStr">
        <is>
          <t>Threads／部落格</t>
        </is>
      </c>
      <c r="G281" s="10" t="inlineStr">
        <is>
          <t>L1</t>
        </is>
      </c>
      <c r="H281" s="9" t="inlineStr">
        <is>
          <t>P1</t>
        </is>
      </c>
    </row>
    <row r="282">
      <c r="A282" s="7" t="inlineStr">
        <is>
          <t>A13-17</t>
        </is>
      </c>
      <c r="B282" s="7" t="inlineStr">
        <is>
          <t>A13 品類失敗與社會觀察</t>
        </is>
      </c>
      <c r="C282" s="8" t="inlineStr">
        <is>
          <t>走失協尋的黃金時間到底是多久</t>
        </is>
      </c>
      <c r="D282" s="7" t="inlineStr">
        <is>
          <t>公共</t>
        </is>
      </c>
      <c r="E282" s="8" t="inlineStr">
        <is>
          <t>科普</t>
        </is>
      </c>
      <c r="F282" s="8" t="inlineStr">
        <is>
          <t>部落格</t>
        </is>
      </c>
      <c r="G282" s="7" t="inlineStr">
        <is>
          <t>L0</t>
        </is>
      </c>
      <c r="H282" s="7" t="inlineStr">
        <is>
          <t>P2</t>
        </is>
      </c>
    </row>
    <row r="283">
      <c r="A283" s="10" t="inlineStr">
        <is>
          <t>A13-18</t>
        </is>
      </c>
      <c r="B283" s="10" t="inlineStr">
        <is>
          <t>A13 品類失敗與社會觀察</t>
        </is>
      </c>
      <c r="C283" s="11" t="inlineStr">
        <is>
          <t>警政、社政、衛政在協尋上的分工與斷點</t>
        </is>
      </c>
      <c r="D283" s="10" t="inlineStr">
        <is>
          <t>公共</t>
        </is>
      </c>
      <c r="E283" s="11" t="inlineStr">
        <is>
          <t>深度</t>
        </is>
      </c>
      <c r="F283" s="11" t="inlineStr">
        <is>
          <t>投書</t>
        </is>
      </c>
      <c r="G283" s="10" t="inlineStr">
        <is>
          <t>L0</t>
        </is>
      </c>
      <c r="H283" s="10" t="inlineStr">
        <is>
          <t>P3</t>
        </is>
      </c>
    </row>
    <row r="284">
      <c r="A284" s="7" t="inlineStr">
        <is>
          <t>A13-19</t>
        </is>
      </c>
      <c r="B284" s="7" t="inlineStr">
        <is>
          <t>A13 品類失敗與社會觀察</t>
        </is>
      </c>
      <c r="C284" s="8" t="inlineStr">
        <is>
          <t>國際比較：日本、荷蘭、英國怎麼處理失智走失</t>
        </is>
      </c>
      <c r="D284" s="7" t="inlineStr">
        <is>
          <t>公共</t>
        </is>
      </c>
      <c r="E284" s="8" t="inlineStr">
        <is>
          <t>視野</t>
        </is>
      </c>
      <c r="F284" s="8" t="inlineStr">
        <is>
          <t>部落格</t>
        </is>
      </c>
      <c r="G284" s="7" t="inlineStr">
        <is>
          <t>L0</t>
        </is>
      </c>
      <c r="H284" s="7" t="inlineStr">
        <is>
          <t>P3</t>
        </is>
      </c>
    </row>
    <row r="285">
      <c r="A285" s="10" t="inlineStr">
        <is>
          <t>A13-20</t>
        </is>
      </c>
      <c r="B285" s="10" t="inlineStr">
        <is>
          <t>A13 品類失敗與社會觀察</t>
        </is>
      </c>
      <c r="C285" s="11" t="inlineStr">
        <is>
          <t>十年後，「防走失」這件事會長什麼樣</t>
        </is>
      </c>
      <c r="D285" s="10" t="inlineStr">
        <is>
          <t>公共</t>
        </is>
      </c>
      <c r="E285" s="11" t="inlineStr">
        <is>
          <t>願景</t>
        </is>
      </c>
      <c r="F285" s="11" t="inlineStr">
        <is>
          <t>Threads</t>
        </is>
      </c>
      <c r="G285" s="10" t="inlineStr">
        <is>
          <t>L0</t>
        </is>
      </c>
      <c r="H285" s="10" t="inlineStr">
        <is>
          <t>P3</t>
        </is>
      </c>
    </row>
    <row r="286">
      <c r="A286" s="7" t="inlineStr">
        <is>
          <t>A14-01</t>
        </is>
      </c>
      <c r="B286" s="7" t="inlineStr">
        <is>
          <t>A14 專業人員增能</t>
        </is>
      </c>
      <c r="C286" s="8" t="inlineStr">
        <is>
          <t>繼續教育 6 年 120 點怎麼湊：實務攻略</t>
        </is>
      </c>
      <c r="D286" s="7" t="inlineStr">
        <is>
          <t>專業人員</t>
        </is>
      </c>
      <c r="E286" s="8" t="inlineStr">
        <is>
          <t>導流主力</t>
        </is>
      </c>
      <c r="F286" s="8" t="inlineStr">
        <is>
          <t>部落格／FB 社團</t>
        </is>
      </c>
      <c r="G286" s="7" t="inlineStr">
        <is>
          <t>L0</t>
        </is>
      </c>
      <c r="H286" s="9" t="inlineStr">
        <is>
          <t>P1</t>
        </is>
      </c>
    </row>
    <row r="287">
      <c r="A287" s="10" t="inlineStr">
        <is>
          <t>A14-02</t>
        </is>
      </c>
      <c r="B287" s="10" t="inlineStr">
        <is>
          <t>A14 專業人員增能</t>
        </is>
      </c>
      <c r="C287" s="11" t="inlineStr">
        <is>
          <t>網路課程積分採認上限調整後的影響</t>
        </is>
      </c>
      <c r="D287" s="10" t="inlineStr">
        <is>
          <t>專業人員</t>
        </is>
      </c>
      <c r="E287" s="11" t="inlineStr">
        <is>
          <t>政策</t>
        </is>
      </c>
      <c r="F287" s="11" t="inlineStr">
        <is>
          <t>部落格</t>
        </is>
      </c>
      <c r="G287" s="10" t="inlineStr">
        <is>
          <t>L0</t>
        </is>
      </c>
      <c r="H287" s="9" t="inlineStr">
        <is>
          <t>P1</t>
        </is>
      </c>
    </row>
    <row r="288">
      <c r="A288" s="7" t="inlineStr">
        <is>
          <t>A14-03</t>
        </is>
      </c>
      <c r="B288" s="7" t="inlineStr">
        <is>
          <t>A14 專業人員增能</t>
        </is>
      </c>
      <c r="C288" s="8" t="inlineStr">
        <is>
          <t>哪些單位辦的課可以採認積分（資格對照）</t>
        </is>
      </c>
      <c r="D288" s="7" t="inlineStr">
        <is>
          <t>專業人員</t>
        </is>
      </c>
      <c r="E288" s="8" t="inlineStr">
        <is>
          <t>工具</t>
        </is>
      </c>
      <c r="F288" s="8" t="inlineStr">
        <is>
          <t>部落格</t>
        </is>
      </c>
      <c r="G288" s="7" t="inlineStr">
        <is>
          <t>L0</t>
        </is>
      </c>
      <c r="H288" s="9" t="inlineStr">
        <is>
          <t>P1</t>
        </is>
      </c>
    </row>
    <row r="289">
      <c r="A289" s="10" t="inlineStr">
        <is>
          <t>A14-04</t>
        </is>
      </c>
      <c r="B289" s="10" t="inlineStr">
        <is>
          <t>A14 專業人員增能</t>
        </is>
      </c>
      <c r="C289" s="11" t="inlineStr">
        <is>
          <t>安全看視類輔具的評估要點</t>
        </is>
      </c>
      <c r="D289" s="10" t="inlineStr">
        <is>
          <t>評估人員</t>
        </is>
      </c>
      <c r="E289" s="11" t="inlineStr">
        <is>
          <t>專業</t>
        </is>
      </c>
      <c r="F289" s="11" t="inlineStr">
        <is>
          <t>產業媒體</t>
        </is>
      </c>
      <c r="G289" s="10" t="inlineStr">
        <is>
          <t>L1</t>
        </is>
      </c>
      <c r="H289" s="9" t="inlineStr">
        <is>
          <t>P1</t>
        </is>
      </c>
    </row>
    <row r="290">
      <c r="A290" s="7" t="inlineStr">
        <is>
          <t>A14-05</t>
        </is>
      </c>
      <c r="B290" s="7" t="inlineStr">
        <is>
          <t>A14 專業人員增能</t>
        </is>
      </c>
      <c r="C290" s="8" t="inlineStr">
        <is>
          <t>走失風險評估怎麼做：可用的工具與問法</t>
        </is>
      </c>
      <c r="D290" s="7" t="inlineStr">
        <is>
          <t>評估人員</t>
        </is>
      </c>
      <c r="E290" s="8" t="inlineStr">
        <is>
          <t>專業</t>
        </is>
      </c>
      <c r="F290" s="8" t="inlineStr">
        <is>
          <t>產業媒體</t>
        </is>
      </c>
      <c r="G290" s="7" t="inlineStr">
        <is>
          <t>L1</t>
        </is>
      </c>
      <c r="H290" s="9" t="inlineStr">
        <is>
          <t>P1</t>
        </is>
      </c>
    </row>
    <row r="291">
      <c r="A291" s="10" t="inlineStr">
        <is>
          <t>A14-06</t>
        </is>
      </c>
      <c r="B291" s="10" t="inlineStr">
        <is>
          <t>A14 專業人員增能</t>
        </is>
      </c>
      <c r="C291" s="11" t="inlineStr">
        <is>
          <t>失智程度與走失風險的關係（實務判讀）</t>
        </is>
      </c>
      <c r="D291" s="10" t="inlineStr">
        <is>
          <t>評估人員</t>
        </is>
      </c>
      <c r="E291" s="11" t="inlineStr">
        <is>
          <t>專業</t>
        </is>
      </c>
      <c r="F291" s="11" t="inlineStr">
        <is>
          <t>產業媒體</t>
        </is>
      </c>
      <c r="G291" s="10" t="inlineStr">
        <is>
          <t>L0</t>
        </is>
      </c>
      <c r="H291" s="10" t="inlineStr">
        <is>
          <t>P2</t>
        </is>
      </c>
    </row>
    <row r="292">
      <c r="A292" s="7" t="inlineStr">
        <is>
          <t>A14-07</t>
        </is>
      </c>
      <c r="B292" s="7" t="inlineStr">
        <is>
          <t>A14 專業人員增能</t>
        </is>
      </c>
      <c r="C292" s="8" t="inlineStr">
        <is>
          <t>家屬說「他不會走丟」，評估者怎麼判斷</t>
        </is>
      </c>
      <c r="D292" s="7" t="inlineStr">
        <is>
          <t>評估人員</t>
        </is>
      </c>
      <c r="E292" s="8" t="inlineStr">
        <is>
          <t>實務</t>
        </is>
      </c>
      <c r="F292" s="8" t="inlineStr">
        <is>
          <t>產業媒體</t>
        </is>
      </c>
      <c r="G292" s="7" t="inlineStr">
        <is>
          <t>L0</t>
        </is>
      </c>
      <c r="H292" s="7" t="inlineStr">
        <is>
          <t>P2</t>
        </is>
      </c>
    </row>
    <row r="293">
      <c r="A293" s="10" t="inlineStr">
        <is>
          <t>A14-08</t>
        </is>
      </c>
      <c r="B293" s="10" t="inlineStr">
        <is>
          <t>A14 專業人員增能</t>
        </is>
      </c>
      <c r="C293" s="11" t="inlineStr">
        <is>
          <t>配適與教學：定位輔具怎麼教家屬用</t>
        </is>
      </c>
      <c r="D293" s="10" t="inlineStr">
        <is>
          <t>評估人員</t>
        </is>
      </c>
      <c r="E293" s="11" t="inlineStr">
        <is>
          <t>專業</t>
        </is>
      </c>
      <c r="F293" s="11" t="inlineStr">
        <is>
          <t>產業媒體</t>
        </is>
      </c>
      <c r="G293" s="10" t="inlineStr">
        <is>
          <t>L2</t>
        </is>
      </c>
      <c r="H293" s="9" t="inlineStr">
        <is>
          <t>P1</t>
        </is>
      </c>
    </row>
    <row r="294">
      <c r="A294" s="7" t="inlineStr">
        <is>
          <t>A14-09</t>
        </is>
      </c>
      <c r="B294" s="7" t="inlineStr">
        <is>
          <t>A14 專業人員增能</t>
        </is>
      </c>
      <c r="C294" s="8" t="inlineStr">
        <is>
          <t>不適合使用定位輔具的個案類型（誠實寫出來）</t>
        </is>
      </c>
      <c r="D294" s="7" t="inlineStr">
        <is>
          <t>評估人員</t>
        </is>
      </c>
      <c r="E294" s="8" t="inlineStr">
        <is>
          <t>信任建立</t>
        </is>
      </c>
      <c r="F294" s="8" t="inlineStr">
        <is>
          <t>產業媒體</t>
        </is>
      </c>
      <c r="G294" s="7" t="inlineStr">
        <is>
          <t>L2</t>
        </is>
      </c>
      <c r="H294" s="9" t="inlineStr">
        <is>
          <t>P1</t>
        </is>
      </c>
    </row>
    <row r="295">
      <c r="A295" s="10" t="inlineStr">
        <is>
          <t>A14-10</t>
        </is>
      </c>
      <c r="B295" s="10" t="inlineStr">
        <is>
          <t>A14 專業人員增能</t>
        </is>
      </c>
      <c r="C295" s="11" t="inlineStr">
        <is>
          <t>同意書與隱私告知該怎麼寫</t>
        </is>
      </c>
      <c r="D295" s="10" t="inlineStr">
        <is>
          <t>機構</t>
        </is>
      </c>
      <c r="E295" s="11" t="inlineStr">
        <is>
          <t>合規</t>
        </is>
      </c>
      <c r="F295" s="11" t="inlineStr">
        <is>
          <t>產業媒體</t>
        </is>
      </c>
      <c r="G295" s="10" t="inlineStr">
        <is>
          <t>L1</t>
        </is>
      </c>
      <c r="H295" s="10" t="inlineStr">
        <is>
          <t>P2</t>
        </is>
      </c>
    </row>
    <row r="296">
      <c r="A296" s="7" t="inlineStr">
        <is>
          <t>A14-11</t>
        </is>
      </c>
      <c r="B296" s="7" t="inlineStr">
        <is>
          <t>A14 專業人員增能</t>
        </is>
      </c>
      <c r="C296" s="8" t="inlineStr">
        <is>
          <t>交班紀錄要寫到什麼程度才算完整</t>
        </is>
      </c>
      <c r="D296" s="7" t="inlineStr">
        <is>
          <t>機構</t>
        </is>
      </c>
      <c r="E296" s="8" t="inlineStr">
        <is>
          <t>實務</t>
        </is>
      </c>
      <c r="F296" s="8" t="inlineStr">
        <is>
          <t>產業媒體</t>
        </is>
      </c>
      <c r="G296" s="7" t="inlineStr">
        <is>
          <t>L1</t>
        </is>
      </c>
      <c r="H296" s="7" t="inlineStr">
        <is>
          <t>P2</t>
        </is>
      </c>
    </row>
    <row r="297">
      <c r="A297" s="10" t="inlineStr">
        <is>
          <t>A14-12</t>
        </is>
      </c>
      <c r="B297" s="10" t="inlineStr">
        <is>
          <t>A14 專業人員增能</t>
        </is>
      </c>
      <c r="C297" s="11" t="inlineStr">
        <is>
          <t>機構離區事件的檢討會怎麼開</t>
        </is>
      </c>
      <c r="D297" s="10" t="inlineStr">
        <is>
          <t>機構</t>
        </is>
      </c>
      <c r="E297" s="11" t="inlineStr">
        <is>
          <t>工具</t>
        </is>
      </c>
      <c r="F297" s="11" t="inlineStr">
        <is>
          <t>產業媒體</t>
        </is>
      </c>
      <c r="G297" s="10" t="inlineStr">
        <is>
          <t>L1</t>
        </is>
      </c>
      <c r="H297" s="10" t="inlineStr">
        <is>
          <t>P2</t>
        </is>
      </c>
    </row>
    <row r="298">
      <c r="A298" s="7" t="inlineStr">
        <is>
          <t>A14-13</t>
        </is>
      </c>
      <c r="B298" s="7" t="inlineStr">
        <is>
          <t>A14 專業人員增能</t>
        </is>
      </c>
      <c r="C298" s="8" t="inlineStr">
        <is>
          <t>日照接送空窗期的風險控管</t>
        </is>
      </c>
      <c r="D298" s="7" t="inlineStr">
        <is>
          <t>機構</t>
        </is>
      </c>
      <c r="E298" s="8" t="inlineStr">
        <is>
          <t>實務</t>
        </is>
      </c>
      <c r="F298" s="8" t="inlineStr">
        <is>
          <t>產業媒體</t>
        </is>
      </c>
      <c r="G298" s="7" t="inlineStr">
        <is>
          <t>L1</t>
        </is>
      </c>
      <c r="H298" s="9" t="inlineStr">
        <is>
          <t>P1</t>
        </is>
      </c>
    </row>
    <row r="299">
      <c r="A299" s="10" t="inlineStr">
        <is>
          <t>A14-14</t>
        </is>
      </c>
      <c r="B299" s="10" t="inlineStr">
        <is>
          <t>A14 專業人員增能</t>
        </is>
      </c>
      <c r="C299" s="11" t="inlineStr">
        <is>
          <t>夜班人力與異常告警的搭配設計</t>
        </is>
      </c>
      <c r="D299" s="10" t="inlineStr">
        <is>
          <t>機構</t>
        </is>
      </c>
      <c r="E299" s="11" t="inlineStr">
        <is>
          <t>方法</t>
        </is>
      </c>
      <c r="F299" s="11" t="inlineStr">
        <is>
          <t>產業媒體</t>
        </is>
      </c>
      <c r="G299" s="10" t="inlineStr">
        <is>
          <t>L2</t>
        </is>
      </c>
      <c r="H299" s="10" t="inlineStr">
        <is>
          <t>P2</t>
        </is>
      </c>
    </row>
    <row r="300">
      <c r="A300" s="7" t="inlineStr">
        <is>
          <t>A14-15</t>
        </is>
      </c>
      <c r="B300" s="7" t="inlineStr">
        <is>
          <t>A14 專業人員增能</t>
        </is>
      </c>
      <c r="C300" s="8" t="inlineStr">
        <is>
          <t>照服員對新科技的抗拒，怎麼解</t>
        </is>
      </c>
      <c r="D300" s="7" t="inlineStr">
        <is>
          <t>機構</t>
        </is>
      </c>
      <c r="E300" s="8" t="inlineStr">
        <is>
          <t>現場</t>
        </is>
      </c>
      <c r="F300" s="8" t="inlineStr">
        <is>
          <t>FB 社團</t>
        </is>
      </c>
      <c r="G300" s="7" t="inlineStr">
        <is>
          <t>L1</t>
        </is>
      </c>
      <c r="H300" s="7" t="inlineStr">
        <is>
          <t>P2</t>
        </is>
      </c>
    </row>
    <row r="301">
      <c r="A301" s="10" t="inlineStr">
        <is>
          <t>A14-16</t>
        </is>
      </c>
      <c r="B301" s="10" t="inlineStr">
        <is>
          <t>A14 專業人員增能</t>
        </is>
      </c>
      <c r="C301" s="11" t="inlineStr">
        <is>
          <t>評鑑會怎麼看科技導入</t>
        </is>
      </c>
      <c r="D301" s="10" t="inlineStr">
        <is>
          <t>機構</t>
        </is>
      </c>
      <c r="E301" s="11" t="inlineStr">
        <is>
          <t>攻略</t>
        </is>
      </c>
      <c r="F301" s="11" t="inlineStr">
        <is>
          <t>產業媒體</t>
        </is>
      </c>
      <c r="G301" s="10" t="inlineStr">
        <is>
          <t>L1</t>
        </is>
      </c>
      <c r="H301" s="9" t="inlineStr">
        <is>
          <t>P1</t>
        </is>
      </c>
    </row>
    <row r="302">
      <c r="A302" s="7" t="inlineStr">
        <is>
          <t>A14-17</t>
        </is>
      </c>
      <c r="B302" s="7" t="inlineStr">
        <is>
          <t>A14 專業人員增能</t>
        </is>
      </c>
      <c r="C302" s="8" t="inlineStr">
        <is>
          <t>智慧照顧獎勵的涵蓋率門檻怎麼算</t>
        </is>
      </c>
      <c r="D302" s="7" t="inlineStr">
        <is>
          <t>機構</t>
        </is>
      </c>
      <c r="E302" s="8" t="inlineStr">
        <is>
          <t>試算</t>
        </is>
      </c>
      <c r="F302" s="8" t="inlineStr">
        <is>
          <t>產業媒體</t>
        </is>
      </c>
      <c r="G302" s="7" t="inlineStr">
        <is>
          <t>L2</t>
        </is>
      </c>
      <c r="H302" s="9" t="inlineStr">
        <is>
          <t>P1</t>
        </is>
      </c>
    </row>
    <row r="303">
      <c r="A303" s="10" t="inlineStr">
        <is>
          <t>A14-18</t>
        </is>
      </c>
      <c r="B303" s="10" t="inlineStr">
        <is>
          <t>A14 專業人員增能</t>
        </is>
      </c>
      <c r="C303" s="11" t="inlineStr">
        <is>
          <t>機構導入前的 10 題自我檢查</t>
        </is>
      </c>
      <c r="D303" s="10" t="inlineStr">
        <is>
          <t>機構</t>
        </is>
      </c>
      <c r="E303" s="11" t="inlineStr">
        <is>
          <t>工具</t>
        </is>
      </c>
      <c r="F303" s="11" t="inlineStr">
        <is>
          <t>產業媒體</t>
        </is>
      </c>
      <c r="G303" s="10" t="inlineStr">
        <is>
          <t>L2</t>
        </is>
      </c>
      <c r="H303" s="10" t="inlineStr">
        <is>
          <t>P2</t>
        </is>
      </c>
    </row>
    <row r="304">
      <c r="A304" s="7" t="inlineStr">
        <is>
          <t>A14-19</t>
        </is>
      </c>
      <c r="B304" s="7" t="inlineStr">
        <is>
          <t>A14 專業人員增能</t>
        </is>
      </c>
      <c r="C304" s="8" t="inlineStr">
        <is>
          <t>照專、治療師、廠商三方怎麼對話才有效率</t>
        </is>
      </c>
      <c r="D304" s="7" t="inlineStr">
        <is>
          <t>專業人員</t>
        </is>
      </c>
      <c r="E304" s="8" t="inlineStr">
        <is>
          <t>方法</t>
        </is>
      </c>
      <c r="F304" s="8" t="inlineStr">
        <is>
          <t>產業媒體</t>
        </is>
      </c>
      <c r="G304" s="7" t="inlineStr">
        <is>
          <t>L1</t>
        </is>
      </c>
      <c r="H304" s="7" t="inlineStr">
        <is>
          <t>P2</t>
        </is>
      </c>
    </row>
    <row r="305">
      <c r="A305" s="10" t="inlineStr">
        <is>
          <t>A14-20</t>
        </is>
      </c>
      <c r="B305" s="10" t="inlineStr">
        <is>
          <t>A14 專業人員增能</t>
        </is>
      </c>
      <c r="C305" s="11" t="inlineStr">
        <is>
          <t>專業人員的利益迴避界線在哪（為什麼不能推薦品牌）</t>
        </is>
      </c>
      <c r="D305" s="10" t="inlineStr">
        <is>
          <t>專業人員</t>
        </is>
      </c>
      <c r="E305" s="11" t="inlineStr">
        <is>
          <t>合規</t>
        </is>
      </c>
      <c r="F305" s="11" t="inlineStr">
        <is>
          <t>產業媒體</t>
        </is>
      </c>
      <c r="G305" s="10" t="inlineStr">
        <is>
          <t>L0</t>
        </is>
      </c>
      <c r="H305" s="9" t="inlineStr">
        <is>
          <t>P1</t>
        </is>
      </c>
    </row>
    <row r="306">
      <c r="A306" s="7" t="inlineStr">
        <is>
          <t>A15-01</t>
        </is>
      </c>
      <c r="B306" s="7" t="inlineStr">
        <is>
          <t>A15 通路現場與轉介節點</t>
        </is>
      </c>
      <c r="C306" s="8" t="inlineStr">
        <is>
          <t>特約藥局的一天：輔具是怎麼賣出去的</t>
        </is>
      </c>
      <c r="D306" s="7" t="inlineStr">
        <is>
          <t>藥師／通路</t>
        </is>
      </c>
      <c r="E306" s="8" t="inlineStr">
        <is>
          <t>紀實</t>
        </is>
      </c>
      <c r="F306" s="8" t="inlineStr">
        <is>
          <t>產業媒體</t>
        </is>
      </c>
      <c r="G306" s="7" t="inlineStr">
        <is>
          <t>L0</t>
        </is>
      </c>
      <c r="H306" s="7" t="inlineStr">
        <is>
          <t>P2</t>
        </is>
      </c>
    </row>
    <row r="307">
      <c r="A307" s="10" t="inlineStr">
        <is>
          <t>A15-02</t>
        </is>
      </c>
      <c r="B307" s="10" t="inlineStr">
        <is>
          <t>A15 通路現場與轉介節點</t>
        </is>
      </c>
      <c r="C307" s="11" t="inlineStr">
        <is>
          <t>藥師的 3 分鐘話術卡</t>
        </is>
      </c>
      <c r="D307" s="10" t="inlineStr">
        <is>
          <t>藥師</t>
        </is>
      </c>
      <c r="E307" s="11" t="inlineStr">
        <is>
          <t>工具</t>
        </is>
      </c>
      <c r="F307" s="11" t="inlineStr">
        <is>
          <t>產業媒體</t>
        </is>
      </c>
      <c r="G307" s="10" t="inlineStr">
        <is>
          <t>L2</t>
        </is>
      </c>
      <c r="H307" s="9" t="inlineStr">
        <is>
          <t>P1</t>
        </is>
      </c>
    </row>
    <row r="308">
      <c r="A308" s="7" t="inlineStr">
        <is>
          <t>A15-03</t>
        </is>
      </c>
      <c r="B308" s="7" t="inlineStr">
        <is>
          <t>A15 通路現場與轉介節點</t>
        </is>
      </c>
      <c r="C308" s="8" t="inlineStr">
        <is>
          <t>輔具中心的評估現場會發生什麼</t>
        </is>
      </c>
      <c r="D308" s="7" t="inlineStr">
        <is>
          <t>家屬</t>
        </is>
      </c>
      <c r="E308" s="8" t="inlineStr">
        <is>
          <t>期待管理</t>
        </is>
      </c>
      <c r="F308" s="8" t="inlineStr">
        <is>
          <t>部落格</t>
        </is>
      </c>
      <c r="G308" s="7" t="inlineStr">
        <is>
          <t>L0</t>
        </is>
      </c>
      <c r="H308" s="9" t="inlineStr">
        <is>
          <t>P1</t>
        </is>
      </c>
    </row>
    <row r="309">
      <c r="A309" s="10" t="inlineStr">
        <is>
          <t>A15-04</t>
        </is>
      </c>
      <c r="B309" s="10" t="inlineStr">
        <is>
          <t>A15 通路現場與轉介節點</t>
        </is>
      </c>
      <c r="C309" s="11" t="inlineStr">
        <is>
          <t>出院準備團隊的 24 小時篩選流程</t>
        </is>
      </c>
      <c r="D309" s="10" t="inlineStr">
        <is>
          <t>家屬／醫護</t>
        </is>
      </c>
      <c r="E309" s="11" t="inlineStr">
        <is>
          <t>資訊</t>
        </is>
      </c>
      <c r="F309" s="11" t="inlineStr">
        <is>
          <t>部落格／醫護社群</t>
        </is>
      </c>
      <c r="G309" s="10" t="inlineStr">
        <is>
          <t>L0</t>
        </is>
      </c>
      <c r="H309" s="9" t="inlineStr">
        <is>
          <t>P1</t>
        </is>
      </c>
    </row>
    <row r="310">
      <c r="A310" s="7" t="inlineStr">
        <is>
          <t>A15-05</t>
        </is>
      </c>
      <c r="B310" s="7" t="inlineStr">
        <is>
          <t>A15 通路現場與轉介節點</t>
        </is>
      </c>
      <c r="C310" s="8" t="inlineStr">
        <is>
          <t>個管師給名單的界線：為什麼他不能替你選</t>
        </is>
      </c>
      <c r="D310" s="7" t="inlineStr">
        <is>
          <t>家屬</t>
        </is>
      </c>
      <c r="E310" s="8" t="inlineStr">
        <is>
          <t>觀念</t>
        </is>
      </c>
      <c r="F310" s="8" t="inlineStr">
        <is>
          <t>部落格</t>
        </is>
      </c>
      <c r="G310" s="7" t="inlineStr">
        <is>
          <t>L0</t>
        </is>
      </c>
      <c r="H310" s="9" t="inlineStr">
        <is>
          <t>P1</t>
        </is>
      </c>
    </row>
    <row r="311">
      <c r="A311" s="10" t="inlineStr">
        <is>
          <t>A15-06</t>
        </is>
      </c>
      <c r="B311" s="10" t="inlineStr">
        <is>
          <t>A15 通路現場與轉介節點</t>
        </is>
      </c>
      <c r="C311" s="11" t="inlineStr">
        <is>
          <t>拿到評估報告書之後，接下來該做什麼</t>
        </is>
      </c>
      <c r="D311" s="10" t="inlineStr">
        <is>
          <t>家屬</t>
        </is>
      </c>
      <c r="E311" s="11" t="inlineStr">
        <is>
          <t>SOP</t>
        </is>
      </c>
      <c r="F311" s="11" t="inlineStr">
        <is>
          <t>部落格</t>
        </is>
      </c>
      <c r="G311" s="10" t="inlineStr">
        <is>
          <t>L1</t>
        </is>
      </c>
      <c r="H311" s="9" t="inlineStr">
        <is>
          <t>P1</t>
        </is>
      </c>
    </row>
    <row r="312">
      <c r="A312" s="7" t="inlineStr">
        <is>
          <t>A15-07</t>
        </is>
      </c>
      <c r="B312" s="7" t="inlineStr">
        <is>
          <t>A15 通路現場與轉介節點</t>
        </is>
      </c>
      <c r="C312" s="8" t="inlineStr">
        <is>
          <t>展示與體驗：怎麼讓長輩願意試穿</t>
        </is>
      </c>
      <c r="D312" s="7" t="inlineStr">
        <is>
          <t>通路</t>
        </is>
      </c>
      <c r="E312" s="8" t="inlineStr">
        <is>
          <t>實務</t>
        </is>
      </c>
      <c r="F312" s="8" t="inlineStr">
        <is>
          <t>產業媒體</t>
        </is>
      </c>
      <c r="G312" s="7" t="inlineStr">
        <is>
          <t>L2</t>
        </is>
      </c>
      <c r="H312" s="7" t="inlineStr">
        <is>
          <t>P2</t>
        </is>
      </c>
    </row>
    <row r="313">
      <c r="A313" s="10" t="inlineStr">
        <is>
          <t>A15-08</t>
        </is>
      </c>
      <c r="B313" s="10" t="inlineStr">
        <is>
          <t>A15 通路現場與轉介節點</t>
        </is>
      </c>
      <c r="C313" s="11" t="inlineStr">
        <is>
          <t>尺寸與修剪：現場配適的細節</t>
        </is>
      </c>
      <c r="D313" s="10" t="inlineStr">
        <is>
          <t>通路</t>
        </is>
      </c>
      <c r="E313" s="11" t="inlineStr">
        <is>
          <t>實務</t>
        </is>
      </c>
      <c r="F313" s="11" t="inlineStr">
        <is>
          <t>產業媒體／影片</t>
        </is>
      </c>
      <c r="G313" s="10" t="inlineStr">
        <is>
          <t>L3</t>
        </is>
      </c>
      <c r="H313" s="10" t="inlineStr">
        <is>
          <t>P2</t>
        </is>
      </c>
    </row>
    <row r="314">
      <c r="A314" s="7" t="inlineStr">
        <is>
          <t>A15-09</t>
        </is>
      </c>
      <c r="B314" s="7" t="inlineStr">
        <is>
          <t>A15 通路現場與轉介節點</t>
        </is>
      </c>
      <c r="C314" s="8" t="inlineStr">
        <is>
          <t>客訴最常出現在哪一步（通路端統計視角）</t>
        </is>
      </c>
      <c r="D314" s="7" t="inlineStr">
        <is>
          <t>通路</t>
        </is>
      </c>
      <c r="E314" s="8" t="inlineStr">
        <is>
          <t>洞察</t>
        </is>
      </c>
      <c r="F314" s="8" t="inlineStr">
        <is>
          <t>產業媒體</t>
        </is>
      </c>
      <c r="G314" s="7" t="inlineStr">
        <is>
          <t>L1</t>
        </is>
      </c>
      <c r="H314" s="7" t="inlineStr">
        <is>
          <t>P2</t>
        </is>
      </c>
    </row>
    <row r="315">
      <c r="A315" s="10" t="inlineStr">
        <is>
          <t>A15-10</t>
        </is>
      </c>
      <c r="B315" s="10" t="inlineStr">
        <is>
          <t>A15 通路現場與轉介節點</t>
        </is>
      </c>
      <c r="C315" s="11" t="inlineStr">
        <is>
          <t>租賃品的回收與清消流程</t>
        </is>
      </c>
      <c r="D315" s="10" t="inlineStr">
        <is>
          <t>通路</t>
        </is>
      </c>
      <c r="E315" s="11" t="inlineStr">
        <is>
          <t>實務</t>
        </is>
      </c>
      <c r="F315" s="11" t="inlineStr">
        <is>
          <t>產業媒體</t>
        </is>
      </c>
      <c r="G315" s="10" t="inlineStr">
        <is>
          <t>L1</t>
        </is>
      </c>
      <c r="H315" s="10" t="inlineStr">
        <is>
          <t>P3</t>
        </is>
      </c>
    </row>
    <row r="316">
      <c r="A316" s="7" t="inlineStr">
        <is>
          <t>A15-11</t>
        </is>
      </c>
      <c r="B316" s="7" t="inlineStr">
        <is>
          <t>A15 通路現場與轉介節點</t>
        </is>
      </c>
      <c r="C316" s="8" t="inlineStr">
        <is>
          <t>長輩過世後，裝置與資料怎麼收尾</t>
        </is>
      </c>
      <c r="D316" s="7" t="inlineStr">
        <is>
          <t>家屬</t>
        </is>
      </c>
      <c r="E316" s="8" t="inlineStr">
        <is>
          <t>少有人寫</t>
        </is>
      </c>
      <c r="F316" s="8" t="inlineStr">
        <is>
          <t>部落格</t>
        </is>
      </c>
      <c r="G316" s="7" t="inlineStr">
        <is>
          <t>L1</t>
        </is>
      </c>
      <c r="H316" s="7" t="inlineStr">
        <is>
          <t>P2</t>
        </is>
      </c>
    </row>
    <row r="317">
      <c r="A317" s="10" t="inlineStr">
        <is>
          <t>A15-12</t>
        </is>
      </c>
      <c r="B317" s="10" t="inlineStr">
        <is>
          <t>A15 通路現場與轉介節點</t>
        </is>
      </c>
      <c r="C317" s="11" t="inlineStr">
        <is>
          <t>換季、換鞋、換照顧者的銜接</t>
        </is>
      </c>
      <c r="D317" s="10" t="inlineStr">
        <is>
          <t>家屬</t>
        </is>
      </c>
      <c r="E317" s="11" t="inlineStr">
        <is>
          <t>實務</t>
        </is>
      </c>
      <c r="F317" s="11" t="inlineStr">
        <is>
          <t>部落格</t>
        </is>
      </c>
      <c r="G317" s="10" t="inlineStr">
        <is>
          <t>L2</t>
        </is>
      </c>
      <c r="H317" s="10" t="inlineStr">
        <is>
          <t>P3</t>
        </is>
      </c>
    </row>
    <row r="318">
      <c r="A318" s="7" t="inlineStr">
        <is>
          <t>A15-13</t>
        </is>
      </c>
      <c r="B318" s="7" t="inlineStr">
        <is>
          <t>A15 通路現場與轉介節點</t>
        </is>
      </c>
      <c r="C318" s="8" t="inlineStr">
        <is>
          <t>偏鄉與離島的配送與售後</t>
        </is>
      </c>
      <c r="D318" s="7" t="inlineStr">
        <is>
          <t>通路</t>
        </is>
      </c>
      <c r="E318" s="8" t="inlineStr">
        <is>
          <t>現實</t>
        </is>
      </c>
      <c r="F318" s="8" t="inlineStr">
        <is>
          <t>產業媒體</t>
        </is>
      </c>
      <c r="G318" s="7" t="inlineStr">
        <is>
          <t>L1</t>
        </is>
      </c>
      <c r="H318" s="7" t="inlineStr">
        <is>
          <t>P3</t>
        </is>
      </c>
    </row>
    <row r="319">
      <c r="A319" s="10" t="inlineStr">
        <is>
          <t>A15-14</t>
        </is>
      </c>
      <c r="B319" s="10" t="inlineStr">
        <is>
          <t>A15 通路現場與轉介節點</t>
        </is>
      </c>
      <c r="C319" s="11" t="inlineStr">
        <is>
          <t>里長與社區據點能扮演什麼角色</t>
        </is>
      </c>
      <c r="D319" s="10" t="inlineStr">
        <is>
          <t>公共</t>
        </is>
      </c>
      <c r="E319" s="11" t="inlineStr">
        <is>
          <t>資源</t>
        </is>
      </c>
      <c r="F319" s="11" t="inlineStr">
        <is>
          <t>部落格</t>
        </is>
      </c>
      <c r="G319" s="10" t="inlineStr">
        <is>
          <t>L0</t>
        </is>
      </c>
      <c r="H319" s="10" t="inlineStr">
        <is>
          <t>P3</t>
        </is>
      </c>
    </row>
    <row r="320">
      <c r="A320" s="7" t="inlineStr">
        <is>
          <t>A15-15</t>
        </is>
      </c>
      <c r="B320" s="7" t="inlineStr">
        <is>
          <t>A15 通路現場與轉介節點</t>
        </is>
      </c>
      <c r="C320" s="8" t="inlineStr">
        <is>
          <t>失智共照中心的角色與「綠色通道」</t>
        </is>
      </c>
      <c r="D320" s="7" t="inlineStr">
        <is>
          <t>家屬</t>
        </is>
      </c>
      <c r="E320" s="8" t="inlineStr">
        <is>
          <t>資訊</t>
        </is>
      </c>
      <c r="F320" s="8" t="inlineStr">
        <is>
          <t>部落格</t>
        </is>
      </c>
      <c r="G320" s="7" t="inlineStr">
        <is>
          <t>L0</t>
        </is>
      </c>
      <c r="H320" s="9" t="inlineStr">
        <is>
          <t>P1</t>
        </is>
      </c>
    </row>
    <row r="321">
      <c r="A321" s="10" t="inlineStr">
        <is>
          <t>A15-16</t>
        </is>
      </c>
      <c r="B321" s="10" t="inlineStr">
        <is>
          <t>A15 通路現場與轉介節點</t>
        </is>
      </c>
      <c r="C321" s="11" t="inlineStr">
        <is>
          <t>縣市捐贈專案是怎麼運作的</t>
        </is>
      </c>
      <c r="D321" s="10" t="inlineStr">
        <is>
          <t>公共</t>
        </is>
      </c>
      <c r="E321" s="11" t="inlineStr">
        <is>
          <t>紀實</t>
        </is>
      </c>
      <c r="F321" s="11" t="inlineStr">
        <is>
          <t>部落格／媒體</t>
        </is>
      </c>
      <c r="G321" s="10" t="inlineStr">
        <is>
          <t>L1</t>
        </is>
      </c>
      <c r="H321" s="10" t="inlineStr">
        <is>
          <t>P2</t>
        </is>
      </c>
    </row>
    <row r="322">
      <c r="A322" s="7" t="inlineStr">
        <is>
          <t>A15-17</t>
        </is>
      </c>
      <c r="B322" s="7" t="inlineStr">
        <is>
          <t>A15 通路現場與轉介節點</t>
        </is>
      </c>
      <c r="C322" s="8" t="inlineStr">
        <is>
          <t>一個縣市從零到有的導入路徑</t>
        </is>
      </c>
      <c r="D322" s="7" t="inlineStr">
        <is>
          <t>公共／通路</t>
        </is>
      </c>
      <c r="E322" s="8" t="inlineStr">
        <is>
          <t>案例</t>
        </is>
      </c>
      <c r="F322" s="8" t="inlineStr">
        <is>
          <t>產業媒體</t>
        </is>
      </c>
      <c r="G322" s="7" t="inlineStr">
        <is>
          <t>L2</t>
        </is>
      </c>
      <c r="H322" s="9" t="inlineStr">
        <is>
          <t>P1</t>
        </is>
      </c>
    </row>
    <row r="323">
      <c r="A323" s="10" t="inlineStr">
        <is>
          <t>A15-18</t>
        </is>
      </c>
      <c r="B323" s="10" t="inlineStr">
        <is>
          <t>A15 通路現場與轉介節點</t>
        </is>
      </c>
      <c r="C323" s="11" t="inlineStr">
        <is>
          <t>媒體報導對在地轉介的實際影響</t>
        </is>
      </c>
      <c r="D323" s="10" t="inlineStr">
        <is>
          <t>公共</t>
        </is>
      </c>
      <c r="E323" s="11" t="inlineStr">
        <is>
          <t>觀察</t>
        </is>
      </c>
      <c r="F323" s="11" t="inlineStr">
        <is>
          <t>產業媒體</t>
        </is>
      </c>
      <c r="G323" s="10" t="inlineStr">
        <is>
          <t>L0</t>
        </is>
      </c>
      <c r="H323" s="10" t="inlineStr">
        <is>
          <t>P3</t>
        </is>
      </c>
    </row>
    <row r="324">
      <c r="A324" s="7" t="inlineStr">
        <is>
          <t>A15-19</t>
        </is>
      </c>
      <c r="B324" s="7" t="inlineStr">
        <is>
          <t>A15 通路現場與轉介節點</t>
        </is>
      </c>
      <c r="C324" s="8" t="inlineStr">
        <is>
          <t>通路端最常誤解產品的三件事</t>
        </is>
      </c>
      <c r="D324" s="7" t="inlineStr">
        <is>
          <t>通路</t>
        </is>
      </c>
      <c r="E324" s="8" t="inlineStr">
        <is>
          <t>訓練</t>
        </is>
      </c>
      <c r="F324" s="8" t="inlineStr">
        <is>
          <t>產業媒體</t>
        </is>
      </c>
      <c r="G324" s="7" t="inlineStr">
        <is>
          <t>L2</t>
        </is>
      </c>
      <c r="H324" s="9" t="inlineStr">
        <is>
          <t>P1</t>
        </is>
      </c>
    </row>
    <row r="325">
      <c r="A325" s="10" t="inlineStr">
        <is>
          <t>A15-20</t>
        </is>
      </c>
      <c r="B325" s="10" t="inlineStr">
        <is>
          <t>A15 通路現場與轉介節點</t>
        </is>
      </c>
      <c r="C325" s="11" t="inlineStr">
        <is>
          <t>轉介節點地圖（1966 → 評估 → 特約 → 配適）</t>
        </is>
      </c>
      <c r="D325" s="10" t="inlineStr">
        <is>
          <t>全</t>
        </is>
      </c>
      <c r="E325" s="11" t="inlineStr">
        <is>
          <t>工具</t>
        </is>
      </c>
      <c r="F325" s="11" t="inlineStr">
        <is>
          <t>部落格／IG</t>
        </is>
      </c>
      <c r="G325" s="10" t="inlineStr">
        <is>
          <t>L1</t>
        </is>
      </c>
      <c r="H325" s="9" t="inlineStr">
        <is>
          <t>P1</t>
        </is>
      </c>
    </row>
    <row r="326">
      <c r="A326" s="7" t="inlineStr">
        <is>
          <t>A16-01</t>
        </is>
      </c>
      <c r="B326" s="7" t="inlineStr">
        <is>
          <t>A16 留存轉介與口碑</t>
        </is>
      </c>
      <c r="C326" s="8" t="inlineStr">
        <is>
          <t>第 4 年到了，然後呢：系統使用權的續與不續</t>
        </is>
      </c>
      <c r="D326" s="7" t="inlineStr">
        <is>
          <t>家屬</t>
        </is>
      </c>
      <c r="E326" s="8" t="inlineStr">
        <is>
          <t>留存斷點</t>
        </is>
      </c>
      <c r="F326" s="8" t="inlineStr">
        <is>
          <t>部落格</t>
        </is>
      </c>
      <c r="G326" s="7" t="inlineStr">
        <is>
          <t>L2</t>
        </is>
      </c>
      <c r="H326" s="7" t="inlineStr">
        <is>
          <t>P2</t>
        </is>
      </c>
    </row>
    <row r="327">
      <c r="A327" s="10" t="inlineStr">
        <is>
          <t>A16-02</t>
        </is>
      </c>
      <c r="B327" s="10" t="inlineStr">
        <is>
          <t>A16 留存轉介與口碑</t>
        </is>
      </c>
      <c r="C327" s="11" t="inlineStr">
        <is>
          <t>長輩狀況改變時，裝置要跟著換嗎</t>
        </is>
      </c>
      <c r="D327" s="10" t="inlineStr">
        <is>
          <t>家屬</t>
        </is>
      </c>
      <c r="E327" s="11" t="inlineStr">
        <is>
          <t>生命週期</t>
        </is>
      </c>
      <c r="F327" s="11" t="inlineStr">
        <is>
          <t>部落格</t>
        </is>
      </c>
      <c r="G327" s="10" t="inlineStr">
        <is>
          <t>L2</t>
        </is>
      </c>
      <c r="H327" s="10" t="inlineStr">
        <is>
          <t>P2</t>
        </is>
      </c>
    </row>
    <row r="328">
      <c r="A328" s="7" t="inlineStr">
        <is>
          <t>A16-03</t>
        </is>
      </c>
      <c r="B328" s="7" t="inlineStr">
        <is>
          <t>A16 留存轉介與口碑</t>
        </is>
      </c>
      <c r="C328" s="8" t="inlineStr">
        <is>
          <t>換鞋、換季、換照顧者的三個銜接點</t>
        </is>
      </c>
      <c r="D328" s="7" t="inlineStr">
        <is>
          <t>家屬</t>
        </is>
      </c>
      <c r="E328" s="8" t="inlineStr">
        <is>
          <t>留存</t>
        </is>
      </c>
      <c r="F328" s="8" t="inlineStr">
        <is>
          <t>部落格</t>
        </is>
      </c>
      <c r="G328" s="7" t="inlineStr">
        <is>
          <t>L2</t>
        </is>
      </c>
      <c r="H328" s="7" t="inlineStr">
        <is>
          <t>P3</t>
        </is>
      </c>
    </row>
    <row r="329">
      <c r="A329" s="10" t="inlineStr">
        <is>
          <t>A16-04</t>
        </is>
      </c>
      <c r="B329" s="10" t="inlineStr">
        <is>
          <t>A16 留存轉介與口碑</t>
        </is>
      </c>
      <c r="C329" s="11" t="inlineStr">
        <is>
          <t>長輩過世後，裝置與資料怎麼收尾</t>
        </is>
      </c>
      <c r="D329" s="10" t="inlineStr">
        <is>
          <t>家屬</t>
        </is>
      </c>
      <c r="E329" s="11" t="inlineStr">
        <is>
          <t>信任建立</t>
        </is>
      </c>
      <c r="F329" s="11" t="inlineStr">
        <is>
          <t>部落格</t>
        </is>
      </c>
      <c r="G329" s="10" t="inlineStr">
        <is>
          <t>L1</t>
        </is>
      </c>
      <c r="H329" s="10" t="inlineStr">
        <is>
          <t>P2</t>
        </is>
      </c>
    </row>
    <row r="330">
      <c r="A330" s="7" t="inlineStr">
        <is>
          <t>A16-05</t>
        </is>
      </c>
      <c r="B330" s="7" t="inlineStr">
        <is>
          <t>A16 留存轉介與口碑</t>
        </is>
      </c>
      <c r="C330" s="8" t="inlineStr">
        <is>
          <t>用了一年之後，我最常用的其實是這個功能</t>
        </is>
      </c>
      <c r="D330" s="7" t="inlineStr">
        <is>
          <t>家屬</t>
        </is>
      </c>
      <c r="E330" s="8" t="inlineStr">
        <is>
          <t>使用深化</t>
        </is>
      </c>
      <c r="F330" s="8" t="inlineStr">
        <is>
          <t>Dcard／Threads</t>
        </is>
      </c>
      <c r="G330" s="7" t="inlineStr">
        <is>
          <t>L2</t>
        </is>
      </c>
      <c r="H330" s="7" t="inlineStr">
        <is>
          <t>P2</t>
        </is>
      </c>
    </row>
    <row r="331">
      <c r="A331" s="10" t="inlineStr">
        <is>
          <t>A16-06</t>
        </is>
      </c>
      <c r="B331" s="10" t="inlineStr">
        <is>
          <t>A16 留存轉介與口碑</t>
        </is>
      </c>
      <c r="C331" s="11" t="inlineStr">
        <is>
          <t>為什麼有些家庭買了就不用了</t>
        </is>
      </c>
      <c r="D331" s="10" t="inlineStr">
        <is>
          <t>公共</t>
        </is>
      </c>
      <c r="E331" s="11" t="inlineStr">
        <is>
          <t>自我檢討</t>
        </is>
      </c>
      <c r="F331" s="11" t="inlineStr">
        <is>
          <t>Threads／部落格</t>
        </is>
      </c>
      <c r="G331" s="10" t="inlineStr">
        <is>
          <t>L0</t>
        </is>
      </c>
      <c r="H331" s="9" t="inlineStr">
        <is>
          <t>P1</t>
        </is>
      </c>
    </row>
    <row r="332">
      <c r="A332" s="7" t="inlineStr">
        <is>
          <t>A16-07</t>
        </is>
      </c>
      <c r="B332" s="7" t="inlineStr">
        <is>
          <t>A16 留存轉介與口碑</t>
        </is>
      </c>
      <c r="C332" s="8" t="inlineStr">
        <is>
          <t>家屬之間是怎麼互相推薦的（觀察）</t>
        </is>
      </c>
      <c r="D332" s="7" t="inlineStr">
        <is>
          <t>公共</t>
        </is>
      </c>
      <c r="E332" s="8" t="inlineStr">
        <is>
          <t>口碑機制</t>
        </is>
      </c>
      <c r="F332" s="8" t="inlineStr">
        <is>
          <t>部落格</t>
        </is>
      </c>
      <c r="G332" s="7" t="inlineStr">
        <is>
          <t>L0</t>
        </is>
      </c>
      <c r="H332" s="7" t="inlineStr">
        <is>
          <t>P3</t>
        </is>
      </c>
    </row>
    <row r="333">
      <c r="A333" s="10" t="inlineStr">
        <is>
          <t>A16-08</t>
        </is>
      </c>
      <c r="B333" s="10" t="inlineStr">
        <is>
          <t>A16 留存轉介與口碑</t>
        </is>
      </c>
      <c r="C333" s="11" t="inlineStr">
        <is>
          <t>一個日照中心導入後，同區同業問了什麼</t>
        </is>
      </c>
      <c r="D333" s="10" t="inlineStr">
        <is>
          <t>機構</t>
        </is>
      </c>
      <c r="E333" s="11" t="inlineStr">
        <is>
          <t>B2B 轉介</t>
        </is>
      </c>
      <c r="F333" s="11" t="inlineStr">
        <is>
          <t>LinkedIn／產業媒體</t>
        </is>
      </c>
      <c r="G333" s="10" t="inlineStr">
        <is>
          <t>L2</t>
        </is>
      </c>
      <c r="H333" s="9" t="inlineStr">
        <is>
          <t>P1</t>
        </is>
      </c>
    </row>
    <row r="334">
      <c r="A334" s="7" t="inlineStr">
        <is>
          <t>A16-09</t>
        </is>
      </c>
      <c r="B334" s="7" t="inlineStr">
        <is>
          <t>A16 留存轉介與口碑</t>
        </is>
      </c>
      <c r="C334" s="8" t="inlineStr">
        <is>
          <t>從一層樓擴到全院：擴點的時機與條件</t>
        </is>
      </c>
      <c r="D334" s="7" t="inlineStr">
        <is>
          <t>機構</t>
        </is>
      </c>
      <c r="E334" s="8" t="inlineStr">
        <is>
          <t>續購</t>
        </is>
      </c>
      <c r="F334" s="8" t="inlineStr">
        <is>
          <t>產業媒體</t>
        </is>
      </c>
      <c r="G334" s="7" t="inlineStr">
        <is>
          <t>L2</t>
        </is>
      </c>
      <c r="H334" s="9" t="inlineStr">
        <is>
          <t>P1</t>
        </is>
      </c>
    </row>
    <row r="335">
      <c r="A335" s="10" t="inlineStr">
        <is>
          <t>A16-10</t>
        </is>
      </c>
      <c r="B335" s="10" t="inlineStr">
        <is>
          <t>A16 留存轉介與口碑</t>
        </is>
      </c>
      <c r="C335" s="11" t="inlineStr">
        <is>
          <t>機構換系統的真實成本（不只是設備錢）</t>
        </is>
      </c>
      <c r="D335" s="10" t="inlineStr">
        <is>
          <t>機構</t>
        </is>
      </c>
      <c r="E335" s="11" t="inlineStr">
        <is>
          <t>轉換成本</t>
        </is>
      </c>
      <c r="F335" s="11" t="inlineStr">
        <is>
          <t>LinkedIn</t>
        </is>
      </c>
      <c r="G335" s="10" t="inlineStr">
        <is>
          <t>L2</t>
        </is>
      </c>
      <c r="H335" s="10" t="inlineStr">
        <is>
          <t>P2</t>
        </is>
      </c>
    </row>
    <row r="336">
      <c r="A336" s="7" t="inlineStr">
        <is>
          <t>A16-11</t>
        </is>
      </c>
      <c r="B336" s="7" t="inlineStr">
        <is>
          <t>A16 留存轉介與口碑</t>
        </is>
      </c>
      <c r="C336" s="8" t="inlineStr">
        <is>
          <t>評鑑之後，機構會想加什麼</t>
        </is>
      </c>
      <c r="D336" s="7" t="inlineStr">
        <is>
          <t>機構</t>
        </is>
      </c>
      <c r="E336" s="8" t="inlineStr">
        <is>
          <t>續購時機</t>
        </is>
      </c>
      <c r="F336" s="8" t="inlineStr">
        <is>
          <t>產業媒體</t>
        </is>
      </c>
      <c r="G336" s="7" t="inlineStr">
        <is>
          <t>L2</t>
        </is>
      </c>
      <c r="H336" s="7" t="inlineStr">
        <is>
          <t>P2</t>
        </is>
      </c>
    </row>
    <row r="337">
      <c r="A337" s="10" t="inlineStr">
        <is>
          <t>A16-12</t>
        </is>
      </c>
      <c r="B337" s="10" t="inlineStr">
        <is>
          <t>A16 留存轉介與口碑</t>
        </is>
      </c>
      <c r="C337" s="11" t="inlineStr">
        <is>
          <t>導入滿一年的機構，回頭看會想改什麼</t>
        </is>
      </c>
      <c r="D337" s="10" t="inlineStr">
        <is>
          <t>機構</t>
        </is>
      </c>
      <c r="E337" s="11" t="inlineStr">
        <is>
          <t>誠實回顧</t>
        </is>
      </c>
      <c r="F337" s="11" t="inlineStr">
        <is>
          <t>產業媒體</t>
        </is>
      </c>
      <c r="G337" s="10" t="inlineStr">
        <is>
          <t>L1</t>
        </is>
      </c>
      <c r="H337" s="9" t="inlineStr">
        <is>
          <t>P1</t>
        </is>
      </c>
    </row>
    <row r="338">
      <c r="A338" s="7" t="inlineStr">
        <is>
          <t>A16-13</t>
        </is>
      </c>
      <c r="B338" s="7" t="inlineStr">
        <is>
          <t>A16 留存轉介與口碑</t>
        </is>
      </c>
      <c r="C338" s="8" t="inlineStr">
        <is>
          <t>通路商怎麼判斷一支產品值不值得繼續推</t>
        </is>
      </c>
      <c r="D338" s="7" t="inlineStr">
        <is>
          <t>通路</t>
        </is>
      </c>
      <c r="E338" s="8" t="inlineStr">
        <is>
          <t>通路留存</t>
        </is>
      </c>
      <c r="F338" s="8" t="inlineStr">
        <is>
          <t>產業媒體</t>
        </is>
      </c>
      <c r="G338" s="7" t="inlineStr">
        <is>
          <t>L1</t>
        </is>
      </c>
      <c r="H338" s="7" t="inlineStr">
        <is>
          <t>P2</t>
        </is>
      </c>
    </row>
    <row r="339">
      <c r="A339" s="10" t="inlineStr">
        <is>
          <t>A16-14</t>
        </is>
      </c>
      <c r="B339" s="10" t="inlineStr">
        <is>
          <t>A16 留存轉介與口碑</t>
        </is>
      </c>
      <c r="C339" s="11" t="inlineStr">
        <is>
          <t>客訴處理的速度，怎麼影響通路願不願意再進貨</t>
        </is>
      </c>
      <c r="D339" s="10" t="inlineStr">
        <is>
          <t>通路</t>
        </is>
      </c>
      <c r="E339" s="11" t="inlineStr">
        <is>
          <t>通路關係</t>
        </is>
      </c>
      <c r="F339" s="11" t="inlineStr">
        <is>
          <t>產業媒體</t>
        </is>
      </c>
      <c r="G339" s="10" t="inlineStr">
        <is>
          <t>L1</t>
        </is>
      </c>
      <c r="H339" s="10" t="inlineStr">
        <is>
          <t>P2</t>
        </is>
      </c>
    </row>
    <row r="340">
      <c r="A340" s="7" t="inlineStr">
        <is>
          <t>A16-15</t>
        </is>
      </c>
      <c r="B340" s="7" t="inlineStr">
        <is>
          <t>A16 留存轉介與口碑</t>
        </is>
      </c>
      <c r="C340" s="8" t="inlineStr">
        <is>
          <t>同業推薦：輔具店之間是怎麼交換情報的</t>
        </is>
      </c>
      <c r="D340" s="7" t="inlineStr">
        <is>
          <t>通路</t>
        </is>
      </c>
      <c r="E340" s="8" t="inlineStr">
        <is>
          <t>口碑機制</t>
        </is>
      </c>
      <c r="F340" s="8" t="inlineStr">
        <is>
          <t>產業媒體</t>
        </is>
      </c>
      <c r="G340" s="7" t="inlineStr">
        <is>
          <t>L0</t>
        </is>
      </c>
      <c r="H340" s="7" t="inlineStr">
        <is>
          <t>P3</t>
        </is>
      </c>
    </row>
    <row r="341">
      <c r="A341" s="10" t="inlineStr">
        <is>
          <t>A16-16</t>
        </is>
      </c>
      <c r="B341" s="10" t="inlineStr">
        <is>
          <t>A16 留存轉介與口碑</t>
        </is>
      </c>
      <c r="C341" s="11" t="inlineStr">
        <is>
          <t>一份使用者見證該怎麼取得才不失真</t>
        </is>
      </c>
      <c r="D341" s="10" t="inlineStr">
        <is>
          <t>全</t>
        </is>
      </c>
      <c r="E341" s="11" t="inlineStr">
        <is>
          <t>方法論＋合規</t>
        </is>
      </c>
      <c r="F341" s="11" t="inlineStr">
        <is>
          <t>部落格</t>
        </is>
      </c>
      <c r="G341" s="10" t="inlineStr">
        <is>
          <t>L1</t>
        </is>
      </c>
      <c r="H341" s="10" t="inlineStr">
        <is>
          <t>P2</t>
        </is>
      </c>
    </row>
    <row r="342">
      <c r="A342" s="7" t="inlineStr">
        <is>
          <t>A16-17</t>
        </is>
      </c>
      <c r="B342" s="7" t="inlineStr">
        <is>
          <t>A16 留存轉介與口碑</t>
        </is>
      </c>
      <c r="C342" s="8" t="inlineStr">
        <is>
          <t>為什麼我們公開失敗案例</t>
        </is>
      </c>
      <c r="D342" s="7" t="inlineStr">
        <is>
          <t>全</t>
        </is>
      </c>
      <c r="E342" s="8" t="inlineStr">
        <is>
          <t>信任建立</t>
        </is>
      </c>
      <c r="F342" s="8" t="inlineStr">
        <is>
          <t>Threads／部落格</t>
        </is>
      </c>
      <c r="G342" s="7" t="inlineStr">
        <is>
          <t>L1</t>
        </is>
      </c>
      <c r="H342" s="9" t="inlineStr">
        <is>
          <t>P1</t>
        </is>
      </c>
    </row>
    <row r="343">
      <c r="A343" s="10" t="inlineStr">
        <is>
          <t>A16-18</t>
        </is>
      </c>
      <c r="B343" s="10" t="inlineStr">
        <is>
          <t>A16 留存轉介與口碑</t>
        </is>
      </c>
      <c r="C343" s="11" t="inlineStr">
        <is>
          <t>從「買過的人」變成「會講的人」中間缺什麼</t>
        </is>
      </c>
      <c r="D343" s="10" t="inlineStr">
        <is>
          <t>全</t>
        </is>
      </c>
      <c r="E343" s="11" t="inlineStr">
        <is>
          <t>口碑設計</t>
        </is>
      </c>
      <c r="F343" s="11" t="inlineStr">
        <is>
          <t>部落格</t>
        </is>
      </c>
      <c r="G343" s="10" t="inlineStr">
        <is>
          <t>L0</t>
        </is>
      </c>
      <c r="H343" s="10" t="inlineStr">
        <is>
          <t>P3</t>
        </is>
      </c>
    </row>
    <row r="344">
      <c r="A344" s="7" t="inlineStr">
        <is>
          <t>A16-19</t>
        </is>
      </c>
      <c r="B344" s="7" t="inlineStr">
        <is>
          <t>A16 留存轉介與口碑</t>
        </is>
      </c>
      <c r="C344" s="8" t="inlineStr">
        <is>
          <t>售後服務的哪一件事最容易被記住</t>
        </is>
      </c>
      <c r="D344" s="7" t="inlineStr">
        <is>
          <t>全</t>
        </is>
      </c>
      <c r="E344" s="8" t="inlineStr">
        <is>
          <t>留存洞察</t>
        </is>
      </c>
      <c r="F344" s="8" t="inlineStr">
        <is>
          <t>部落格</t>
        </is>
      </c>
      <c r="G344" s="7" t="inlineStr">
        <is>
          <t>L1</t>
        </is>
      </c>
      <c r="H344" s="7" t="inlineStr">
        <is>
          <t>P3</t>
        </is>
      </c>
    </row>
    <row r="345">
      <c r="A345" s="10" t="inlineStr">
        <is>
          <t>A16-20</t>
        </is>
      </c>
      <c r="B345" s="10" t="inlineStr">
        <is>
          <t>A16 留存轉介與口碑</t>
        </is>
      </c>
      <c r="C345" s="11" t="inlineStr">
        <is>
          <t>三年之後，這個客戶還在嗎（留存的真實樣貌）</t>
        </is>
      </c>
      <c r="D345" s="10" t="inlineStr">
        <is>
          <t>全</t>
        </is>
      </c>
      <c r="E345" s="11" t="inlineStr">
        <is>
          <t>長期視角</t>
        </is>
      </c>
      <c r="F345" s="11" t="inlineStr">
        <is>
          <t>LinkedIn</t>
        </is>
      </c>
      <c r="G345" s="10" t="inlineStr">
        <is>
          <t>L1</t>
        </is>
      </c>
      <c r="H345" s="10" t="inlineStr">
        <is>
          <t>P2</t>
        </is>
      </c>
    </row>
  </sheetData>
  <autoFilter ref="A1:H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12" customWidth="1" min="4" max="4"/>
    <col width="34" customWidth="1" min="5" max="5"/>
    <col width="40" customWidth="1" min="6" max="6"/>
    <col width="18" customWidth="1" min="7" max="7"/>
    <col width="8" customWidth="1" min="8" max="8"/>
  </cols>
  <sheetData>
    <row r="1" ht="30" customHeight="1">
      <c r="A1" s="6" t="inlineStr">
        <is>
          <t>編號</t>
        </is>
      </c>
      <c r="B1" s="6" t="inlineStr">
        <is>
          <t>生活群集</t>
        </is>
      </c>
      <c r="C1" s="6" t="inlineStr">
        <is>
          <t>議題標題</t>
        </is>
      </c>
      <c r="D1" s="6" t="inlineStr">
        <is>
          <t>切入形式</t>
        </is>
      </c>
      <c r="E1" s="6" t="inlineStr">
        <is>
          <t>國際技術錨點</t>
        </is>
      </c>
      <c r="F1" s="6" t="inlineStr">
        <is>
          <t>間接帶入點</t>
        </is>
      </c>
      <c r="G1" s="6" t="inlineStr">
        <is>
          <t>建議平台</t>
        </is>
      </c>
      <c r="H1" s="6" t="inlineStr">
        <is>
          <t>層級</t>
        </is>
      </c>
    </row>
    <row r="2">
      <c r="A2" s="7" t="inlineStr">
        <is>
          <t>C01-01</t>
        </is>
      </c>
      <c r="B2" s="7" t="inlineStr">
        <is>
          <t>C01 上班族與通勤</t>
        </is>
      </c>
      <c r="C2" s="8" t="inlineStr">
        <is>
          <t>你一年花多少時間在找東西？（30 秒問卷）</t>
        </is>
      </c>
      <c r="D2" s="7" t="inlineStr">
        <is>
          <t>問卷調查</t>
        </is>
      </c>
      <c r="E2" s="12" t="inlineStr">
        <is>
          <t>Apple Find My｜Tile</t>
        </is>
      </c>
      <c r="F2" s="8" t="inlineStr">
        <is>
          <t>找東西的時間成本，是所有定位需求的共同起點</t>
        </is>
      </c>
      <c r="G2" s="7" t="inlineStr">
        <is>
          <t>Threads／IG</t>
        </is>
      </c>
      <c r="H2" s="7" t="inlineStr">
        <is>
          <t>L0</t>
        </is>
      </c>
    </row>
    <row r="3">
      <c r="A3" s="10" t="inlineStr">
        <is>
          <t>C01-02</t>
        </is>
      </c>
      <c r="B3" s="10" t="inlineStr">
        <is>
          <t>C01 上班族與通勤</t>
        </is>
      </c>
      <c r="C3" s="11" t="inlineStr">
        <is>
          <t>辦公室最常不見的五樣東西排行</t>
        </is>
      </c>
      <c r="D3" s="10" t="inlineStr">
        <is>
          <t>市場調查</t>
        </is>
      </c>
      <c r="E3" s="12" t="inlineStr">
        <is>
          <t>Google Find Hub｜Tile</t>
        </is>
      </c>
      <c r="F3" s="11" t="inlineStr">
        <is>
          <t>資產定位不是工廠專利，辦公室也適用</t>
        </is>
      </c>
      <c r="G3" s="10" t="inlineStr">
        <is>
          <t>Threads</t>
        </is>
      </c>
      <c r="H3" s="10" t="inlineStr">
        <is>
          <t>L0</t>
        </is>
      </c>
    </row>
    <row r="4">
      <c r="A4" s="7" t="inlineStr">
        <is>
          <t>C01-03</t>
        </is>
      </c>
      <c r="B4" s="7" t="inlineStr">
        <is>
          <t>C01 上班族與通勤</t>
        </is>
      </c>
      <c r="C4" s="8" t="inlineStr">
        <is>
          <t>我在捷運上撿到一個小圓片，它把我嚇到了</t>
        </is>
      </c>
      <c r="D4" s="7" t="inlineStr">
        <is>
          <t>個人發現</t>
        </is>
      </c>
      <c r="E4" s="12" t="inlineStr">
        <is>
          <t>Apple AirTag｜IETF DULT 反追蹤標準</t>
        </is>
      </c>
      <c r="F4" s="8" t="inlineStr">
        <is>
          <t>反追蹤警示怎麼運作，順勢談匿名回傳設計</t>
        </is>
      </c>
      <c r="G4" s="7" t="inlineStr">
        <is>
          <t>Threads／Dcard</t>
        </is>
      </c>
      <c r="H4" s="7" t="inlineStr">
        <is>
          <t>L1</t>
        </is>
      </c>
    </row>
    <row r="5">
      <c r="A5" s="10" t="inlineStr">
        <is>
          <t>C01-04</t>
        </is>
      </c>
      <c r="B5" s="10" t="inlineStr">
        <is>
          <t>C01 上班族與通勤</t>
        </is>
      </c>
      <c r="C5" s="11" t="inlineStr">
        <is>
          <t>通勤族的鑰匙掉落熱點地圖</t>
        </is>
      </c>
      <c r="D5" s="10" t="inlineStr">
        <is>
          <t>現象觀察</t>
        </is>
      </c>
      <c r="E5" s="12" t="inlineStr">
        <is>
          <t>Apple Find My 群眾網路</t>
        </is>
      </c>
      <c r="F5" s="11" t="inlineStr">
        <is>
          <t>群眾網路在人多的地方才有用，這是誠實的前提</t>
        </is>
      </c>
      <c r="G5" s="10" t="inlineStr">
        <is>
          <t>Threads</t>
        </is>
      </c>
      <c r="H5" s="10" t="inlineStr">
        <is>
          <t>L1</t>
        </is>
      </c>
    </row>
    <row r="6">
      <c r="A6" s="7" t="inlineStr">
        <is>
          <t>C01-05</t>
        </is>
      </c>
      <c r="B6" s="7" t="inlineStr">
        <is>
          <t>C01 上班族與通勤</t>
        </is>
      </c>
      <c r="C6" s="8" t="inlineStr">
        <is>
          <t>為什麼你的手機可能正在幫陌生人找東西</t>
        </is>
      </c>
      <c r="D6" s="7" t="inlineStr">
        <is>
          <t>冷知識</t>
        </is>
      </c>
      <c r="E6" s="12" t="inlineStr">
        <is>
          <t>Apple Find My｜Google Find Hub</t>
        </is>
      </c>
      <c r="F6" s="8" t="inlineStr">
        <is>
          <t>群眾網路的原理與匿名性，台灣也有自研版本</t>
        </is>
      </c>
      <c r="G6" s="7" t="inlineStr">
        <is>
          <t>Mobile01／Threads</t>
        </is>
      </c>
      <c r="H6" s="7" t="inlineStr">
        <is>
          <t>L1</t>
        </is>
      </c>
    </row>
    <row r="7">
      <c r="A7" s="10" t="inlineStr">
        <is>
          <t>C01-06</t>
        </is>
      </c>
      <c r="B7" s="10" t="inlineStr">
        <is>
          <t>C01 上班族與通勤</t>
        </is>
      </c>
      <c r="C7" s="11" t="inlineStr">
        <is>
          <t>筆電被偷之後，我學到的三件事</t>
        </is>
      </c>
      <c r="D7" s="10" t="inlineStr">
        <is>
          <t>個人發現</t>
        </is>
      </c>
      <c r="E7" s="12" t="inlineStr">
        <is>
          <t>Find My｜Find Hub</t>
        </is>
      </c>
      <c r="F7" s="11" t="inlineStr">
        <is>
          <t>被動定位的極限與適用情境</t>
        </is>
      </c>
      <c r="G7" s="10" t="inlineStr">
        <is>
          <t>Dcard</t>
        </is>
      </c>
      <c r="H7" s="10" t="inlineStr">
        <is>
          <t>L1</t>
        </is>
      </c>
    </row>
    <row r="8">
      <c r="A8" s="7" t="inlineStr">
        <is>
          <t>C01-07</t>
        </is>
      </c>
      <c r="B8" s="7" t="inlineStr">
        <is>
          <t>C01 上班族與通勤</t>
        </is>
      </c>
      <c r="C8" s="8" t="inlineStr">
        <is>
          <t>公司財產編號貼紙，為什麼永遠對不上</t>
        </is>
      </c>
      <c r="D8" s="7" t="inlineStr">
        <is>
          <t>現象觀察</t>
        </is>
      </c>
      <c r="E8" s="12" t="inlineStr">
        <is>
          <t>BLE 資產標籤</t>
        </is>
      </c>
      <c r="F8" s="8" t="inlineStr">
        <is>
          <t>盤點從人工走到自動的那一步</t>
        </is>
      </c>
      <c r="G8" s="7" t="inlineStr">
        <is>
          <t>LinkedIn</t>
        </is>
      </c>
      <c r="H8" s="7" t="inlineStr">
        <is>
          <t>L1</t>
        </is>
      </c>
    </row>
    <row r="9">
      <c r="A9" s="10" t="inlineStr">
        <is>
          <t>C01-08</t>
        </is>
      </c>
      <c r="B9" s="10" t="inlineStr">
        <is>
          <t>C01 上班族與通勤</t>
        </is>
      </c>
      <c r="C9" s="11" t="inlineStr">
        <is>
          <t>開放式辦公室，東西為什麼更容易不見</t>
        </is>
      </c>
      <c r="D9" s="10" t="inlineStr">
        <is>
          <t>社會現狀</t>
        </is>
      </c>
      <c r="E9" s="12" t="inlineStr">
        <is>
          <t>BLE AoA/AoD 區域判讀</t>
        </is>
      </c>
      <c r="F9" s="11" t="inlineStr">
        <is>
          <t>區域級定位就夠用，不需要公分級</t>
        </is>
      </c>
      <c r="G9" s="10" t="inlineStr">
        <is>
          <t>LinkedIn</t>
        </is>
      </c>
      <c r="H9" s="10" t="inlineStr">
        <is>
          <t>L2</t>
        </is>
      </c>
    </row>
    <row r="10">
      <c r="A10" s="7" t="inlineStr">
        <is>
          <t>C01-09</t>
        </is>
      </c>
      <c r="B10" s="7" t="inlineStr">
        <is>
          <t>C01 上班族與通勤</t>
        </is>
      </c>
      <c r="C10" s="8" t="inlineStr">
        <is>
          <t>會議室的投影轉接頭都去哪了</t>
        </is>
      </c>
      <c r="D10" s="7" t="inlineStr">
        <is>
          <t>現象觀察</t>
        </is>
      </c>
      <c r="E10" s="12" t="inlineStr">
        <is>
          <t>Tile｜BLE 標籤</t>
        </is>
      </c>
      <c r="F10" s="8" t="inlineStr">
        <is>
          <t>小資產的流失成本被嚴重低估</t>
        </is>
      </c>
      <c r="G10" s="7" t="inlineStr">
        <is>
          <t>Threads</t>
        </is>
      </c>
      <c r="H10" s="7" t="inlineStr">
        <is>
          <t>L0</t>
        </is>
      </c>
    </row>
    <row r="11">
      <c r="A11" s="10" t="inlineStr">
        <is>
          <t>C01-10</t>
        </is>
      </c>
      <c r="B11" s="10" t="inlineStr">
        <is>
          <t>C01 上班族與通勤</t>
        </is>
      </c>
      <c r="C11" s="11" t="inlineStr">
        <is>
          <t>遠距辦公後，公司設備追不回來的比例</t>
        </is>
      </c>
      <c r="D11" s="10" t="inlineStr">
        <is>
          <t>市場調查</t>
        </is>
      </c>
      <c r="E11" s="12" t="inlineStr">
        <is>
          <t>Find My｜企業 MDM</t>
        </is>
      </c>
      <c r="F11" s="11" t="inlineStr">
        <is>
          <t>離開場域之後就失去視野，這是普遍問題</t>
        </is>
      </c>
      <c r="G11" s="10" t="inlineStr">
        <is>
          <t>LinkedIn</t>
        </is>
      </c>
      <c r="H11" s="10" t="inlineStr">
        <is>
          <t>L1</t>
        </is>
      </c>
    </row>
    <row r="12">
      <c r="A12" s="7" t="inlineStr">
        <is>
          <t>C01-11</t>
        </is>
      </c>
      <c r="B12" s="7" t="inlineStr">
        <is>
          <t>C01 上班族與通勤</t>
        </is>
      </c>
      <c r="C12" s="8" t="inlineStr">
        <is>
          <t>你願意讓公司知道你在哪嗎？（匿名投票）</t>
        </is>
      </c>
      <c r="D12" s="7" t="inlineStr">
        <is>
          <t>問卷調查</t>
        </is>
      </c>
      <c r="E12" s="12" t="inlineStr">
        <is>
          <t>去識別化群體統計</t>
        </is>
      </c>
      <c r="F12" s="8" t="inlineStr">
        <is>
          <t>人員定位的倫理界線</t>
        </is>
      </c>
      <c r="G12" s="7" t="inlineStr">
        <is>
          <t>Dcard／Threads</t>
        </is>
      </c>
      <c r="H12" s="7" t="inlineStr">
        <is>
          <t>L0</t>
        </is>
      </c>
    </row>
    <row r="13">
      <c r="A13" s="10" t="inlineStr">
        <is>
          <t>C01-12</t>
        </is>
      </c>
      <c r="B13" s="10" t="inlineStr">
        <is>
          <t>C01 上班族與通勤</t>
        </is>
      </c>
      <c r="C13" s="11" t="inlineStr">
        <is>
          <t>上班打卡的下一步，會是什麼</t>
        </is>
      </c>
      <c r="D13" s="10" t="inlineStr">
        <is>
          <t>現象觀察</t>
        </is>
      </c>
      <c r="E13" s="12" t="inlineStr">
        <is>
          <t>BLE 區域感測</t>
        </is>
      </c>
      <c r="F13" s="11" t="inlineStr">
        <is>
          <t>從打卡到區域判讀的演進</t>
        </is>
      </c>
      <c r="G13" s="10" t="inlineStr">
        <is>
          <t>LinkedIn</t>
        </is>
      </c>
      <c r="H13" s="10" t="inlineStr">
        <is>
          <t>L2</t>
        </is>
      </c>
    </row>
    <row r="14">
      <c r="A14" s="7" t="inlineStr">
        <is>
          <t>C01-13</t>
        </is>
      </c>
      <c r="B14" s="7" t="inlineStr">
        <is>
          <t>C01 上班族與通勤</t>
        </is>
      </c>
      <c r="C14" s="8" t="inlineStr">
        <is>
          <t>我把 AirTag 放進公事包一個月，發現了什麼</t>
        </is>
      </c>
      <c r="D14" s="7" t="inlineStr">
        <is>
          <t>個人發現</t>
        </is>
      </c>
      <c r="E14" s="12" t="inlineStr">
        <is>
          <t>Apple Find My</t>
        </is>
      </c>
      <c r="F14" s="8" t="inlineStr">
        <is>
          <t>記錄軌跡與即時追蹤的差別</t>
        </is>
      </c>
      <c r="G14" s="7" t="inlineStr">
        <is>
          <t>Mobile01</t>
        </is>
      </c>
      <c r="H14" s="7" t="inlineStr">
        <is>
          <t>L2</t>
        </is>
      </c>
    </row>
    <row r="15">
      <c r="A15" s="10" t="inlineStr">
        <is>
          <t>C01-14</t>
        </is>
      </c>
      <c r="B15" s="10" t="inlineStr">
        <is>
          <t>C01 上班族與通勤</t>
        </is>
      </c>
      <c r="C15" s="11" t="inlineStr">
        <is>
          <t>午休出去吃飯，多久沒人找得到你</t>
        </is>
      </c>
      <c r="D15" s="10" t="inlineStr">
        <is>
          <t>現象觀察</t>
        </is>
      </c>
      <c r="E15" s="12" t="inlineStr">
        <is>
          <t>Bluetooth Channel Sounding</t>
        </is>
      </c>
      <c r="F15" s="11" t="inlineStr">
        <is>
          <t>距離感知技術的日常應用</t>
        </is>
      </c>
      <c r="G15" s="10" t="inlineStr">
        <is>
          <t>Threads</t>
        </is>
      </c>
      <c r="H15" s="10" t="inlineStr">
        <is>
          <t>L1</t>
        </is>
      </c>
    </row>
    <row r="16">
      <c r="A16" s="7" t="inlineStr">
        <is>
          <t>C01-15</t>
        </is>
      </c>
      <c r="B16" s="7" t="inlineStr">
        <is>
          <t>C01 上班族與通勤</t>
        </is>
      </c>
      <c r="C16" s="8" t="inlineStr">
        <is>
          <t>那些被留在計程車上的東西</t>
        </is>
      </c>
      <c r="D16" s="7" t="inlineStr">
        <is>
          <t>社會現狀</t>
        </is>
      </c>
      <c r="E16" s="12" t="inlineStr">
        <is>
          <t>Find My｜Find Hub</t>
        </is>
      </c>
      <c r="F16" s="8" t="inlineStr">
        <is>
          <t>跨場域的最後偵測位置有多實用</t>
        </is>
      </c>
      <c r="G16" s="7" t="inlineStr">
        <is>
          <t>Threads</t>
        </is>
      </c>
      <c r="H16" s="7" t="inlineStr">
        <is>
          <t>L1</t>
        </is>
      </c>
    </row>
    <row r="17">
      <c r="A17" s="10" t="inlineStr">
        <is>
          <t>C01-16</t>
        </is>
      </c>
      <c r="B17" s="10" t="inlineStr">
        <is>
          <t>C01 上班族與通勤</t>
        </is>
      </c>
      <c r="C17" s="11" t="inlineStr">
        <is>
          <t>雨傘的年失蹤率，可能比你想的高</t>
        </is>
      </c>
      <c r="D17" s="10" t="inlineStr">
        <is>
          <t>冷知識</t>
        </is>
      </c>
      <c r="E17" s="12" t="inlineStr">
        <is>
          <t>Tile｜BLE 標籤</t>
        </is>
      </c>
      <c r="F17" s="11" t="inlineStr">
        <is>
          <t>低價物品是否值得裝定位的思辨</t>
        </is>
      </c>
      <c r="G17" s="10" t="inlineStr">
        <is>
          <t>Threads</t>
        </is>
      </c>
      <c r="H17" s="10" t="inlineStr">
        <is>
          <t>L0</t>
        </is>
      </c>
    </row>
    <row r="18">
      <c r="A18" s="7" t="inlineStr">
        <is>
          <t>C01-17</t>
        </is>
      </c>
      <c r="B18" s="7" t="inlineStr">
        <is>
          <t>C01 上班族與通勤</t>
        </is>
      </c>
      <c r="C18" s="8" t="inlineStr">
        <is>
          <t>如果每件公司資產都有座標，管理會變怎樣</t>
        </is>
      </c>
      <c r="D18" s="7" t="inlineStr">
        <is>
          <t>跨界類比</t>
        </is>
      </c>
      <c r="E18" s="12" t="inlineStr">
        <is>
          <t>Zebra RTLS 概念</t>
        </is>
      </c>
      <c r="F18" s="8" t="inlineStr">
        <is>
          <t>從工廠資產定位延伸到辦公室</t>
        </is>
      </c>
      <c r="G18" s="7" t="inlineStr">
        <is>
          <t>LinkedIn</t>
        </is>
      </c>
      <c r="H18" s="7" t="inlineStr">
        <is>
          <t>L2</t>
        </is>
      </c>
    </row>
    <row r="19">
      <c r="A19" s="10" t="inlineStr">
        <is>
          <t>C02-01</t>
        </is>
      </c>
      <c r="B19" s="10" t="inlineStr">
        <is>
          <t>C02 家庭育兒與學齡兒童</t>
        </is>
      </c>
      <c r="C19" s="11" t="inlineStr">
        <is>
          <t>幼兒園門口，家長最怕的那三十秒</t>
        </is>
      </c>
      <c r="D19" s="10" t="inlineStr">
        <is>
          <t>現象觀察</t>
        </is>
      </c>
      <c r="E19" s="12" t="inlineStr">
        <is>
          <t>BLE 電子圍籬</t>
        </is>
      </c>
      <c r="F19" s="11" t="inlineStr">
        <is>
          <t>出入口感測的原理與誤報控制</t>
        </is>
      </c>
      <c r="G19" s="10" t="inlineStr">
        <is>
          <t>FB 社團</t>
        </is>
      </c>
      <c r="H19" s="10" t="inlineStr">
        <is>
          <t>L1</t>
        </is>
      </c>
    </row>
    <row r="20">
      <c r="A20" s="7" t="inlineStr">
        <is>
          <t>C02-02</t>
        </is>
      </c>
      <c r="B20" s="7" t="inlineStr">
        <is>
          <t>C02 家庭育兒與學齡兒童</t>
        </is>
      </c>
      <c r="C20" s="8" t="inlineStr">
        <is>
          <t>你會讓小孩戴定位裝置嗎？（家長投票）</t>
        </is>
      </c>
      <c r="D20" s="7" t="inlineStr">
        <is>
          <t>問卷調查</t>
        </is>
      </c>
      <c r="E20" s="12" t="inlineStr">
        <is>
          <t>Apple Find My｜Google Find Hub</t>
        </is>
      </c>
      <c r="F20" s="8" t="inlineStr">
        <is>
          <t>兒童定位的分寸與家長心理</t>
        </is>
      </c>
      <c r="G20" s="7" t="inlineStr">
        <is>
          <t>FB／Threads</t>
        </is>
      </c>
      <c r="H20" s="7" t="inlineStr">
        <is>
          <t>L0</t>
        </is>
      </c>
    </row>
    <row r="21">
      <c r="A21" s="10" t="inlineStr">
        <is>
          <t>C02-03</t>
        </is>
      </c>
      <c r="B21" s="10" t="inlineStr">
        <is>
          <t>C02 家庭育兒與學齡兒童</t>
        </is>
      </c>
      <c r="C21" s="11" t="inlineStr">
        <is>
          <t>校車上下車自動點名，國外已經這樣做</t>
        </is>
      </c>
      <c r="D21" s="10" t="inlineStr">
        <is>
          <t>市場調查</t>
        </is>
      </c>
      <c r="E21" s="12" t="inlineStr">
        <is>
          <t>BLE 車載閘道器校車考勤</t>
        </is>
      </c>
      <c r="F21" s="11" t="inlineStr">
        <is>
          <t>同一技術可用在長照接送</t>
        </is>
      </c>
      <c r="G21" s="10" t="inlineStr">
        <is>
          <t>產業媒體</t>
        </is>
      </c>
      <c r="H21" s="10" t="inlineStr">
        <is>
          <t>L2</t>
        </is>
      </c>
    </row>
    <row r="22">
      <c r="A22" s="7" t="inlineStr">
        <is>
          <t>C02-04</t>
        </is>
      </c>
      <c r="B22" s="7" t="inlineStr">
        <is>
          <t>C02 家庭育兒與學齡兒童</t>
        </is>
      </c>
      <c r="C22" s="8" t="inlineStr">
        <is>
          <t>小孩把定位手錶拔掉的第七天</t>
        </is>
      </c>
      <c r="D22" s="7" t="inlineStr">
        <is>
          <t>個人發現</t>
        </is>
      </c>
      <c r="E22" s="12" t="inlineStr">
        <is>
          <t>Find My｜穿戴裝置</t>
        </is>
      </c>
      <c r="F22" s="8" t="inlineStr">
        <is>
          <t>配戴意願才是真正的門檻</t>
        </is>
      </c>
      <c r="G22" s="7" t="inlineStr">
        <is>
          <t>Dcard</t>
        </is>
      </c>
      <c r="H22" s="7" t="inlineStr">
        <is>
          <t>L1</t>
        </is>
      </c>
    </row>
    <row r="23">
      <c r="A23" s="10" t="inlineStr">
        <is>
          <t>C02-05</t>
        </is>
      </c>
      <c r="B23" s="10" t="inlineStr">
        <is>
          <t>C02 家庭育兒與學齡兒童</t>
        </is>
      </c>
      <c r="C23" s="11" t="inlineStr">
        <is>
          <t>遊樂園走散的統計，比你想的頻繁</t>
        </is>
      </c>
      <c r="D23" s="10" t="inlineStr">
        <is>
          <t>市場調查</t>
        </is>
      </c>
      <c r="E23" s="12" t="inlineStr">
        <is>
          <t>UWB／FiRa 高精度定位</t>
        </is>
      </c>
      <c r="F23" s="11" t="inlineStr">
        <is>
          <t>大型場域的人流與走散管理</t>
        </is>
      </c>
      <c r="G23" s="10" t="inlineStr">
        <is>
          <t>Threads</t>
        </is>
      </c>
      <c r="H23" s="10" t="inlineStr">
        <is>
          <t>L1</t>
        </is>
      </c>
    </row>
    <row r="24">
      <c r="A24" s="7" t="inlineStr">
        <is>
          <t>C02-06</t>
        </is>
      </c>
      <c r="B24" s="7" t="inlineStr">
        <is>
          <t>C02 家庭育兒與學齡兒童</t>
        </is>
      </c>
      <c r="C24" s="8" t="inlineStr">
        <is>
          <t>百貨公司廣播找小孩，為什麼還在用</t>
        </is>
      </c>
      <c r="D24" s="7" t="inlineStr">
        <is>
          <t>社會現狀</t>
        </is>
      </c>
      <c r="E24" s="12" t="inlineStr">
        <is>
          <t>BLE 區域判讀</t>
        </is>
      </c>
      <c r="F24" s="8" t="inlineStr">
        <is>
          <t>廣播是上個世代的協尋方式</t>
        </is>
      </c>
      <c r="G24" s="7" t="inlineStr">
        <is>
          <t>Threads</t>
        </is>
      </c>
      <c r="H24" s="7" t="inlineStr">
        <is>
          <t>L1</t>
        </is>
      </c>
    </row>
    <row r="25">
      <c r="A25" s="10" t="inlineStr">
        <is>
          <t>C02-07</t>
        </is>
      </c>
      <c r="B25" s="10" t="inlineStr">
        <is>
          <t>C02 家庭育兒與學齡兒童</t>
        </is>
      </c>
      <c r="C25" s="11" t="inlineStr">
        <is>
          <t>書包裡塞一個標籤，我後來後悔了嗎</t>
        </is>
      </c>
      <c r="D25" s="10" t="inlineStr">
        <is>
          <t>個人發現</t>
        </is>
      </c>
      <c r="E25" s="12" t="inlineStr">
        <is>
          <t>Apple AirTag｜DULT</t>
        </is>
      </c>
      <c r="F25" s="11" t="inlineStr">
        <is>
          <t>兒童定位的隱私與同意</t>
        </is>
      </c>
      <c r="G25" s="10" t="inlineStr">
        <is>
          <t>Dcard</t>
        </is>
      </c>
      <c r="H25" s="10" t="inlineStr">
        <is>
          <t>L1</t>
        </is>
      </c>
    </row>
    <row r="26">
      <c r="A26" s="7" t="inlineStr">
        <is>
          <t>C02-08</t>
        </is>
      </c>
      <c r="B26" s="7" t="inlineStr">
        <is>
          <t>C02 家庭育兒與學齡兒童</t>
        </is>
      </c>
      <c r="C26" s="8" t="inlineStr">
        <is>
          <t>三代同堂的家，誰在照顧誰</t>
        </is>
      </c>
      <c r="D26" s="7" t="inlineStr">
        <is>
          <t>社會現狀</t>
        </is>
      </c>
      <c r="E26" s="8" t="inlineStr">
        <is>
          <t>—</t>
        </is>
      </c>
      <c r="F26" s="8" t="inlineStr">
        <is>
          <t>從育兒焦慮連到照顧焦慮</t>
        </is>
      </c>
      <c r="G26" s="7" t="inlineStr">
        <is>
          <t>Threads</t>
        </is>
      </c>
      <c r="H26" s="7" t="inlineStr">
        <is>
          <t>L0</t>
        </is>
      </c>
    </row>
    <row r="27">
      <c r="A27" s="10" t="inlineStr">
        <is>
          <t>C02-09</t>
        </is>
      </c>
      <c r="B27" s="10" t="inlineStr">
        <is>
          <t>C02 家庭育兒與學齡兒童</t>
        </is>
      </c>
      <c r="C27" s="11" t="inlineStr">
        <is>
          <t>家長群組裡最常被問的定位問題 TOP10</t>
        </is>
      </c>
      <c r="D27" s="10" t="inlineStr">
        <is>
          <t>市場調查</t>
        </is>
      </c>
      <c r="E27" s="12" t="inlineStr">
        <is>
          <t>Find My｜Find Hub｜Tile</t>
        </is>
      </c>
      <c r="F27" s="11" t="inlineStr">
        <is>
          <t>用家長的語言整理品類知識</t>
        </is>
      </c>
      <c r="G27" s="10" t="inlineStr">
        <is>
          <t>FB 社團</t>
        </is>
      </c>
      <c r="H27" s="10" t="inlineStr">
        <is>
          <t>L1</t>
        </is>
      </c>
    </row>
    <row r="28">
      <c r="A28" s="7" t="inlineStr">
        <is>
          <t>C02-10</t>
        </is>
      </c>
      <c r="B28" s="7" t="inlineStr">
        <is>
          <t>C02 家庭育兒與學齡兒童</t>
        </is>
      </c>
      <c r="C28" s="8" t="inlineStr">
        <is>
          <t>兒童手錶與長輩手錶，需求其實相反</t>
        </is>
      </c>
      <c r="D28" s="7" t="inlineStr">
        <is>
          <t>跨界類比</t>
        </is>
      </c>
      <c r="E28" s="12" t="inlineStr">
        <is>
          <t>穿戴 GPS 裝置</t>
        </is>
      </c>
      <c r="F28" s="8" t="inlineStr">
        <is>
          <t>兒童要互動，長輩要無感</t>
        </is>
      </c>
      <c r="G28" s="7" t="inlineStr">
        <is>
          <t>部落格</t>
        </is>
      </c>
      <c r="H28" s="7" t="inlineStr">
        <is>
          <t>L2</t>
        </is>
      </c>
    </row>
    <row r="29">
      <c r="A29" s="10" t="inlineStr">
        <is>
          <t>C02-11</t>
        </is>
      </c>
      <c r="B29" s="10" t="inlineStr">
        <is>
          <t>C02 家庭育兒與學齡兒童</t>
        </is>
      </c>
      <c r="C29" s="11" t="inlineStr">
        <is>
          <t>安親班到家的那段路，誰在看著</t>
        </is>
      </c>
      <c r="D29" s="10" t="inlineStr">
        <is>
          <t>現象觀察</t>
        </is>
      </c>
      <c r="E29" s="12" t="inlineStr">
        <is>
          <t>群眾網路｜車載接收</t>
        </is>
      </c>
      <c r="F29" s="11" t="inlineStr">
        <is>
          <t>移動段的普遍缺口</t>
        </is>
      </c>
      <c r="G29" s="10" t="inlineStr">
        <is>
          <t>FB 社團</t>
        </is>
      </c>
      <c r="H29" s="10" t="inlineStr">
        <is>
          <t>L1</t>
        </is>
      </c>
    </row>
    <row r="30">
      <c r="A30" s="7" t="inlineStr">
        <is>
          <t>C02-12</t>
        </is>
      </c>
      <c r="B30" s="7" t="inlineStr">
        <is>
          <t>C02 家庭育兒與學齡兒童</t>
        </is>
      </c>
      <c r="C30" s="8" t="inlineStr">
        <is>
          <t>暑假走失通報會上升嗎（數據查核）</t>
        </is>
      </c>
      <c r="D30" s="7" t="inlineStr">
        <is>
          <t>市場調查</t>
        </is>
      </c>
      <c r="E30" s="12" t="inlineStr">
        <is>
          <t>警政統計</t>
        </is>
      </c>
      <c r="F30" s="8" t="inlineStr">
        <is>
          <t>用數據破除或確認直覺</t>
        </is>
      </c>
      <c r="G30" s="7" t="inlineStr">
        <is>
          <t>Threads</t>
        </is>
      </c>
      <c r="H30" s="7" t="inlineStr">
        <is>
          <t>L0</t>
        </is>
      </c>
    </row>
    <row r="31">
      <c r="A31" s="10" t="inlineStr">
        <is>
          <t>C02-13</t>
        </is>
      </c>
      <c r="B31" s="10" t="inlineStr">
        <is>
          <t>C02 家庭育兒與學齡兒童</t>
        </is>
      </c>
      <c r="C31" s="11" t="inlineStr">
        <is>
          <t>露營帳篷區，小孩跑掉怎麼找</t>
        </is>
      </c>
      <c r="D31" s="10" t="inlineStr">
        <is>
          <t>個人發現</t>
        </is>
      </c>
      <c r="E31" s="12" t="inlineStr">
        <is>
          <t>Find My 精確尋找｜UWB</t>
        </is>
      </c>
      <c r="F31" s="11" t="inlineStr">
        <is>
          <t>戶外低密度區的定位現實</t>
        </is>
      </c>
      <c r="G31" s="10" t="inlineStr">
        <is>
          <t>Threads</t>
        </is>
      </c>
      <c r="H31" s="10" t="inlineStr">
        <is>
          <t>L1</t>
        </is>
      </c>
    </row>
    <row r="32">
      <c r="A32" s="7" t="inlineStr">
        <is>
          <t>C02-14</t>
        </is>
      </c>
      <c r="B32" s="7" t="inlineStr">
        <is>
          <t>C02 家庭育兒與學齡兒童</t>
        </is>
      </c>
      <c r="C32" s="8" t="inlineStr">
        <is>
          <t>我用定位換來的不是安心，是新的焦慮</t>
        </is>
      </c>
      <c r="D32" s="7" t="inlineStr">
        <is>
          <t>個人發現</t>
        </is>
      </c>
      <c r="E32" s="8" t="inlineStr">
        <is>
          <t>—</t>
        </is>
      </c>
      <c r="F32" s="8" t="inlineStr">
        <is>
          <t>科技不會消除焦慮，只會改變形狀</t>
        </is>
      </c>
      <c r="G32" s="7" t="inlineStr">
        <is>
          <t>Dcard</t>
        </is>
      </c>
      <c r="H32" s="7" t="inlineStr">
        <is>
          <t>L0</t>
        </is>
      </c>
    </row>
    <row r="33">
      <c r="A33" s="10" t="inlineStr">
        <is>
          <t>C02-15</t>
        </is>
      </c>
      <c r="B33" s="10" t="inlineStr">
        <is>
          <t>C02 家庭育兒與學齡兒童</t>
        </is>
      </c>
      <c r="C33" s="11" t="inlineStr">
        <is>
          <t>家裡失智長輩與學齡小孩同時要顧</t>
        </is>
      </c>
      <c r="D33" s="10" t="inlineStr">
        <is>
          <t>社會現狀</t>
        </is>
      </c>
      <c r="E33" s="12" t="inlineStr">
        <is>
          <t>BLE 群眾網路</t>
        </is>
      </c>
      <c r="F33" s="11" t="inlineStr">
        <is>
          <t>三明治世代的雙向照顧</t>
        </is>
      </c>
      <c r="G33" s="10" t="inlineStr">
        <is>
          <t>Threads／FB</t>
        </is>
      </c>
      <c r="H33" s="10" t="inlineStr">
        <is>
          <t>L1</t>
        </is>
      </c>
    </row>
    <row r="34">
      <c r="A34" s="7" t="inlineStr">
        <is>
          <t>C02-16</t>
        </is>
      </c>
      <c r="B34" s="7" t="inlineStr">
        <is>
          <t>C02 家庭育兒與學齡兒童</t>
        </is>
      </c>
      <c r="C34" s="8" t="inlineStr">
        <is>
          <t>水壺、外套、餐袋：學校最常遺失的東西</t>
        </is>
      </c>
      <c r="D34" s="7" t="inlineStr">
        <is>
          <t>現象觀察</t>
        </is>
      </c>
      <c r="E34" s="12" t="inlineStr">
        <is>
          <t>Tile｜BLE 標籤</t>
        </is>
      </c>
      <c r="F34" s="8" t="inlineStr">
        <is>
          <t>低價高頻遺失的成本累積</t>
        </is>
      </c>
      <c r="G34" s="7" t="inlineStr">
        <is>
          <t>FB 社團</t>
        </is>
      </c>
      <c r="H34" s="7" t="inlineStr">
        <is>
          <t>L0</t>
        </is>
      </c>
    </row>
    <row r="35">
      <c r="A35" s="10" t="inlineStr">
        <is>
          <t>C02-17</t>
        </is>
      </c>
      <c r="B35" s="10" t="inlineStr">
        <is>
          <t>C02 家庭育兒與學齡兒童</t>
        </is>
      </c>
      <c r="C35" s="11" t="inlineStr">
        <is>
          <t>把標籤縫進衣服，是保護還是監控</t>
        </is>
      </c>
      <c r="D35" s="10" t="inlineStr">
        <is>
          <t>問卷調查</t>
        </is>
      </c>
      <c r="E35" s="12" t="inlineStr">
        <is>
          <t>DULT 反追蹤標準</t>
        </is>
      </c>
      <c r="F35" s="11" t="inlineStr">
        <is>
          <t>同意與知情的邊界</t>
        </is>
      </c>
      <c r="G35" s="10" t="inlineStr">
        <is>
          <t>Threads</t>
        </is>
      </c>
      <c r="H35" s="10" t="inlineStr">
        <is>
          <t>L0</t>
        </is>
      </c>
    </row>
    <row r="36">
      <c r="A36" s="7" t="inlineStr">
        <is>
          <t>C03-01</t>
        </is>
      </c>
      <c r="B36" s="7" t="inlineStr">
        <is>
          <t>C03 寵物與毛小孩</t>
        </is>
      </c>
      <c r="C36" s="8" t="inlineStr">
        <is>
          <t>貓走失後的黃金 72 小時</t>
        </is>
      </c>
      <c r="D36" s="7" t="inlineStr">
        <is>
          <t>現象觀察</t>
        </is>
      </c>
      <c r="E36" s="12" t="inlineStr">
        <is>
          <t>Apple Find My｜Tile</t>
        </is>
      </c>
      <c r="F36" s="8" t="inlineStr">
        <is>
          <t>協尋黃金時間的跨物種共通性</t>
        </is>
      </c>
      <c r="G36" s="7" t="inlineStr">
        <is>
          <t>FB 社團／Threads</t>
        </is>
      </c>
      <c r="H36" s="7" t="inlineStr">
        <is>
          <t>L1</t>
        </is>
      </c>
    </row>
    <row r="37">
      <c r="A37" s="10" t="inlineStr">
        <is>
          <t>C03-02</t>
        </is>
      </c>
      <c r="B37" s="10" t="inlineStr">
        <is>
          <t>C03 寵物與毛小孩</t>
        </is>
      </c>
      <c r="C37" s="11" t="inlineStr">
        <is>
          <t>寵物晶片不是定位器，很多人搞錯了</t>
        </is>
      </c>
      <c r="D37" s="10" t="inlineStr">
        <is>
          <t>冷知識</t>
        </is>
      </c>
      <c r="E37" s="12" t="inlineStr">
        <is>
          <t>RFID 晶片 vs BLE 定位</t>
        </is>
      </c>
      <c r="F37" s="11" t="inlineStr">
        <is>
          <t>被動識別與主動回報的差別，與愛心手鍊同理</t>
        </is>
      </c>
      <c r="G37" s="10" t="inlineStr">
        <is>
          <t>Threads</t>
        </is>
      </c>
      <c r="H37" s="10" t="inlineStr">
        <is>
          <t>L1</t>
        </is>
      </c>
    </row>
    <row r="38">
      <c r="A38" s="7" t="inlineStr">
        <is>
          <t>C03-03</t>
        </is>
      </c>
      <c r="B38" s="7" t="inlineStr">
        <is>
          <t>C03 寵物與毛小孩</t>
        </is>
      </c>
      <c r="C38" s="8" t="inlineStr">
        <is>
          <t>狗狗項圈定位器，續航是最大痛點</t>
        </is>
      </c>
      <c r="D38" s="7" t="inlineStr">
        <is>
          <t>市場調查</t>
        </is>
      </c>
      <c r="E38" s="12" t="inlineStr">
        <is>
          <t>Find My｜GPS 項圈</t>
        </is>
      </c>
      <c r="F38" s="8" t="inlineStr">
        <is>
          <t>續航與配戴是所有定位品類的共同題</t>
        </is>
      </c>
      <c r="G38" s="7" t="inlineStr">
        <is>
          <t>Mobile01</t>
        </is>
      </c>
      <c r="H38" s="7" t="inlineStr">
        <is>
          <t>L2</t>
        </is>
      </c>
    </row>
    <row r="39">
      <c r="A39" s="10" t="inlineStr">
        <is>
          <t>C03-04</t>
        </is>
      </c>
      <c r="B39" s="10" t="inlineStr">
        <is>
          <t>C03 寵物與毛小孩</t>
        </is>
      </c>
      <c r="C39" s="11" t="inlineStr">
        <is>
          <t>你的貓一天走多遠？（軌跡紀錄實測）</t>
        </is>
      </c>
      <c r="D39" s="10" t="inlineStr">
        <is>
          <t>個人發現</t>
        </is>
      </c>
      <c r="E39" s="12" t="inlineStr">
        <is>
          <t>GPS 軌跡回放</t>
        </is>
      </c>
      <c r="F39" s="11" t="inlineStr">
        <is>
          <t>軌跡回放的價值不只在找人</t>
        </is>
      </c>
      <c r="G39" s="10" t="inlineStr">
        <is>
          <t>Threads</t>
        </is>
      </c>
      <c r="H39" s="10" t="inlineStr">
        <is>
          <t>L1</t>
        </is>
      </c>
    </row>
    <row r="40">
      <c r="A40" s="7" t="inlineStr">
        <is>
          <t>C03-05</t>
        </is>
      </c>
      <c r="B40" s="7" t="inlineStr">
        <is>
          <t>C03 寵物與毛小孩</t>
        </is>
      </c>
      <c r="C40" s="8" t="inlineStr">
        <is>
          <t>寵物旅館最怕的一件事</t>
        </is>
      </c>
      <c r="D40" s="7" t="inlineStr">
        <is>
          <t>現象觀察</t>
        </is>
      </c>
      <c r="E40" s="12" t="inlineStr">
        <is>
          <t>BLE 電子圍籬</t>
        </is>
      </c>
      <c r="F40" s="8" t="inlineStr">
        <is>
          <t>機構型場域的共同風險</t>
        </is>
      </c>
      <c r="G40" s="7" t="inlineStr">
        <is>
          <t>產業媒體</t>
        </is>
      </c>
      <c r="H40" s="7" t="inlineStr">
        <is>
          <t>L1</t>
        </is>
      </c>
    </row>
    <row r="41">
      <c r="A41" s="10" t="inlineStr">
        <is>
          <t>C03-06</t>
        </is>
      </c>
      <c r="B41" s="10" t="inlineStr">
        <is>
          <t>C03 寵物與毛小孩</t>
        </is>
      </c>
      <c r="C41" s="11" t="inlineStr">
        <is>
          <t>浪犬 TNR 的耳標，如果能回報位置</t>
        </is>
      </c>
      <c r="D41" s="10" t="inlineStr">
        <is>
          <t>跨界類比</t>
        </is>
      </c>
      <c r="E41" s="12" t="inlineStr">
        <is>
          <t>BLE 標籤</t>
        </is>
      </c>
      <c r="F41" s="11" t="inlineStr">
        <is>
          <t>公共議題與定位技術的交會</t>
        </is>
      </c>
      <c r="G41" s="10" t="inlineStr">
        <is>
          <t>Threads</t>
        </is>
      </c>
      <c r="H41" s="10" t="inlineStr">
        <is>
          <t>L0</t>
        </is>
      </c>
    </row>
    <row r="42">
      <c r="A42" s="7" t="inlineStr">
        <is>
          <t>C03-07</t>
        </is>
      </c>
      <c r="B42" s="7" t="inlineStr">
        <is>
          <t>C03 寵物與毛小孩</t>
        </is>
      </c>
      <c r="C42" s="8" t="inlineStr">
        <is>
          <t>寵物公園的走失熱點</t>
        </is>
      </c>
      <c r="D42" s="7" t="inlineStr">
        <is>
          <t>現象觀察</t>
        </is>
      </c>
      <c r="E42" s="12" t="inlineStr">
        <is>
          <t>群眾網路密度</t>
        </is>
      </c>
      <c r="F42" s="8" t="inlineStr">
        <is>
          <t>開放空間的定位限制</t>
        </is>
      </c>
      <c r="G42" s="7" t="inlineStr">
        <is>
          <t>FB 社團</t>
        </is>
      </c>
      <c r="H42" s="7" t="inlineStr">
        <is>
          <t>L1</t>
        </is>
      </c>
    </row>
    <row r="43">
      <c r="A43" s="10" t="inlineStr">
        <is>
          <t>C03-08</t>
        </is>
      </c>
      <c r="B43" s="10" t="inlineStr">
        <is>
          <t>C03 寵物與毛小孩</t>
        </is>
      </c>
      <c r="C43" s="11" t="inlineStr">
        <is>
          <t>颱風天，寵物走失通報會暴增嗎</t>
        </is>
      </c>
      <c r="D43" s="10" t="inlineStr">
        <is>
          <t>市場調查</t>
        </is>
      </c>
      <c r="E43" s="11" t="inlineStr">
        <is>
          <t>—</t>
        </is>
      </c>
      <c r="F43" s="11" t="inlineStr">
        <is>
          <t>極端天氣與走失的相關性</t>
        </is>
      </c>
      <c r="G43" s="10" t="inlineStr">
        <is>
          <t>Threads</t>
        </is>
      </c>
      <c r="H43" s="10" t="inlineStr">
        <is>
          <t>L0</t>
        </is>
      </c>
    </row>
    <row r="44">
      <c r="A44" s="7" t="inlineStr">
        <is>
          <t>C03-09</t>
        </is>
      </c>
      <c r="B44" s="7" t="inlineStr">
        <is>
          <t>C03 寵物與毛小孩</t>
        </is>
      </c>
      <c r="C44" s="8" t="inlineStr">
        <is>
          <t>寵物定位器的價格帶，從 300 到 6000</t>
        </is>
      </c>
      <c r="D44" s="7" t="inlineStr">
        <is>
          <t>市場調查</t>
        </is>
      </c>
      <c r="E44" s="12" t="inlineStr">
        <is>
          <t>Tile｜Find My｜GPS 款</t>
        </is>
      </c>
      <c r="F44" s="8" t="inlineStr">
        <is>
          <t>價格帶分層與功能落差</t>
        </is>
      </c>
      <c r="G44" s="7" t="inlineStr">
        <is>
          <t>Mobile01</t>
        </is>
      </c>
      <c r="H44" s="7" t="inlineStr">
        <is>
          <t>L2</t>
        </is>
      </c>
    </row>
    <row r="45">
      <c r="A45" s="10" t="inlineStr">
        <is>
          <t>C03-10</t>
        </is>
      </c>
      <c r="B45" s="10" t="inlineStr">
        <is>
          <t>C03 寵物與毛小孩</t>
        </is>
      </c>
      <c r="C45" s="11" t="inlineStr">
        <is>
          <t>我幫爸爸的狗裝了定位，然後想到爸爸</t>
        </is>
      </c>
      <c r="D45" s="10" t="inlineStr">
        <is>
          <t>個人發現</t>
        </is>
      </c>
      <c r="E45" s="12" t="inlineStr">
        <is>
          <t>Find My</t>
        </is>
      </c>
      <c r="F45" s="11" t="inlineStr">
        <is>
          <t>從寵物自然過渡到長輩</t>
        </is>
      </c>
      <c r="G45" s="10" t="inlineStr">
        <is>
          <t>Threads／Dcard</t>
        </is>
      </c>
      <c r="H45" s="10" t="inlineStr">
        <is>
          <t>L1</t>
        </is>
      </c>
    </row>
    <row r="46">
      <c r="A46" s="7" t="inlineStr">
        <is>
          <t>C03-11</t>
        </is>
      </c>
      <c r="B46" s="7" t="inlineStr">
        <is>
          <t>C03 寵物與毛小孩</t>
        </is>
      </c>
      <c r="C46" s="8" t="inlineStr">
        <is>
          <t>老貓失智也會走失，你知道嗎</t>
        </is>
      </c>
      <c r="D46" s="7" t="inlineStr">
        <is>
          <t>冷知識</t>
        </is>
      </c>
      <c r="E46" s="8" t="inlineStr">
        <is>
          <t>—</t>
        </is>
      </c>
      <c r="F46" s="8" t="inlineStr">
        <is>
          <t>跨物種的認知退化與遊走</t>
        </is>
      </c>
      <c r="G46" s="7" t="inlineStr">
        <is>
          <t>Threads</t>
        </is>
      </c>
      <c r="H46" s="7" t="inlineStr">
        <is>
          <t>L0</t>
        </is>
      </c>
    </row>
    <row r="47">
      <c r="A47" s="10" t="inlineStr">
        <is>
          <t>C03-12</t>
        </is>
      </c>
      <c r="B47" s="10" t="inlineStr">
        <is>
          <t>C03 寵物與毛小孩</t>
        </is>
      </c>
      <c r="C47" s="11" t="inlineStr">
        <is>
          <t>動物醫院的儀器也會不見</t>
        </is>
      </c>
      <c r="D47" s="10" t="inlineStr">
        <is>
          <t>現象觀察</t>
        </is>
      </c>
      <c r="E47" s="12" t="inlineStr">
        <is>
          <t>BLE 資產標籤</t>
        </is>
      </c>
      <c r="F47" s="11" t="inlineStr">
        <is>
          <t>小型機構的資產管理</t>
        </is>
      </c>
      <c r="G47" s="10" t="inlineStr">
        <is>
          <t>產業媒體</t>
        </is>
      </c>
      <c r="H47" s="10" t="inlineStr">
        <is>
          <t>L1</t>
        </is>
      </c>
    </row>
    <row r="48">
      <c r="A48" s="7" t="inlineStr">
        <is>
          <t>C03-13</t>
        </is>
      </c>
      <c r="B48" s="7" t="inlineStr">
        <is>
          <t>C03 寵物與毛小孩</t>
        </is>
      </c>
      <c r="C48" s="8" t="inlineStr">
        <is>
          <t>帶寵物出國，行李與寵物袋怎麼追</t>
        </is>
      </c>
      <c r="D48" s="7" t="inlineStr">
        <is>
          <t>個人發現</t>
        </is>
      </c>
      <c r="E48" s="12" t="inlineStr">
        <is>
          <t>Apple Find My 行李追蹤</t>
        </is>
      </c>
      <c r="F48" s="8" t="inlineStr">
        <is>
          <t>跨國移動的定位現實</t>
        </is>
      </c>
      <c r="G48" s="7" t="inlineStr">
        <is>
          <t>Threads</t>
        </is>
      </c>
      <c r="H48" s="7" t="inlineStr">
        <is>
          <t>L1</t>
        </is>
      </c>
    </row>
    <row r="49">
      <c r="A49" s="10" t="inlineStr">
        <is>
          <t>C03-14</t>
        </is>
      </c>
      <c r="B49" s="10" t="inlineStr">
        <is>
          <t>C03 寵物與毛小孩</t>
        </is>
      </c>
      <c r="C49" s="11" t="inlineStr">
        <is>
          <t>寵物走失協尋社團，效率有多高</t>
        </is>
      </c>
      <c r="D49" s="10" t="inlineStr">
        <is>
          <t>現象觀察</t>
        </is>
      </c>
      <c r="E49" s="12" t="inlineStr">
        <is>
          <t>群眾協尋</t>
        </is>
      </c>
      <c r="F49" s="11" t="inlineStr">
        <is>
          <t>人肉網路與技術網路的互補</t>
        </is>
      </c>
      <c r="G49" s="10" t="inlineStr">
        <is>
          <t>FB 社團</t>
        </is>
      </c>
      <c r="H49" s="10" t="inlineStr">
        <is>
          <t>L0</t>
        </is>
      </c>
    </row>
    <row r="50">
      <c r="A50" s="7" t="inlineStr">
        <is>
          <t>C03-15</t>
        </is>
      </c>
      <c r="B50" s="7" t="inlineStr">
        <is>
          <t>C03 寵物與毛小孩</t>
        </is>
      </c>
      <c r="C50" s="8" t="inlineStr">
        <is>
          <t>晶片登記率與實際協尋率的落差</t>
        </is>
      </c>
      <c r="D50" s="7" t="inlineStr">
        <is>
          <t>市場調查</t>
        </is>
      </c>
      <c r="E50" s="12" t="inlineStr">
        <is>
          <t>農業部統計</t>
        </is>
      </c>
      <c r="F50" s="8" t="inlineStr">
        <is>
          <t>登記不等於找得到</t>
        </is>
      </c>
      <c r="G50" s="7" t="inlineStr">
        <is>
          <t>Threads</t>
        </is>
      </c>
      <c r="H50" s="7" t="inlineStr">
        <is>
          <t>L0</t>
        </is>
      </c>
    </row>
    <row r="51">
      <c r="A51" s="10" t="inlineStr">
        <is>
          <t>C03-16</t>
        </is>
      </c>
      <c r="B51" s="10" t="inlineStr">
        <is>
          <t>C03 寵物與毛小孩</t>
        </is>
      </c>
      <c r="C51" s="11" t="inlineStr">
        <is>
          <t>定位項圈會不會讓狗不舒服</t>
        </is>
      </c>
      <c r="D51" s="10" t="inlineStr">
        <is>
          <t>問卷調查</t>
        </is>
      </c>
      <c r="E51" s="12" t="inlineStr">
        <is>
          <t>穿戴舒適度</t>
        </is>
      </c>
      <c r="F51" s="11" t="inlineStr">
        <is>
          <t>配戴接受度的跨物種驗證</t>
        </is>
      </c>
      <c r="G51" s="10" t="inlineStr">
        <is>
          <t>FB 社團</t>
        </is>
      </c>
      <c r="H51" s="10" t="inlineStr">
        <is>
          <t>L1</t>
        </is>
      </c>
    </row>
    <row r="52">
      <c r="A52" s="7" t="inlineStr">
        <is>
          <t>C03-17</t>
        </is>
      </c>
      <c r="B52" s="7" t="inlineStr">
        <is>
          <t>C03 寵物與毛小孩</t>
        </is>
      </c>
      <c r="C52" s="8" t="inlineStr">
        <is>
          <t>如果定位器能藏在腳掌墊裡</t>
        </is>
      </c>
      <c r="D52" s="7" t="inlineStr">
        <is>
          <t>跨界類比</t>
        </is>
      </c>
      <c r="E52" s="8" t="inlineStr">
        <is>
          <t>—</t>
        </is>
      </c>
      <c r="F52" s="8" t="inlineStr">
        <is>
          <t>無感配戴的設計思路，正是鞋墊的邏輯</t>
        </is>
      </c>
      <c r="G52" s="7" t="inlineStr">
        <is>
          <t>Threads</t>
        </is>
      </c>
      <c r="H52" s="7" t="inlineStr">
        <is>
          <t>L2</t>
        </is>
      </c>
    </row>
    <row r="53">
      <c r="A53" s="10" t="inlineStr">
        <is>
          <t>C04-01</t>
        </is>
      </c>
      <c r="B53" s="10" t="inlineStr">
        <is>
          <t>C04 校園與補教</t>
        </is>
      </c>
      <c r="C53" s="11" t="inlineStr">
        <is>
          <t>大學宿舍最常被偷的東西</t>
        </is>
      </c>
      <c r="D53" s="10" t="inlineStr">
        <is>
          <t>市場調查</t>
        </is>
      </c>
      <c r="E53" s="12" t="inlineStr">
        <is>
          <t>Tile｜Find My</t>
        </is>
      </c>
      <c r="F53" s="11" t="inlineStr">
        <is>
          <t>校園資產與個人物品的流失</t>
        </is>
      </c>
      <c r="G53" s="10" t="inlineStr">
        <is>
          <t>Dcard</t>
        </is>
      </c>
      <c r="H53" s="10" t="inlineStr">
        <is>
          <t>L0</t>
        </is>
      </c>
    </row>
    <row r="54">
      <c r="A54" s="7" t="inlineStr">
        <is>
          <t>C04-02</t>
        </is>
      </c>
      <c r="B54" s="7" t="inlineStr">
        <is>
          <t>C04 校園與補教</t>
        </is>
      </c>
      <c r="C54" s="8" t="inlineStr">
        <is>
          <t>實驗室的儀器借用登記，永遠對不上</t>
        </is>
      </c>
      <c r="D54" s="7" t="inlineStr">
        <is>
          <t>現象觀察</t>
        </is>
      </c>
      <c r="E54" s="12" t="inlineStr">
        <is>
          <t>BLE 資產標籤</t>
        </is>
      </c>
      <c r="F54" s="8" t="inlineStr">
        <is>
          <t>借還管理的自動化</t>
        </is>
      </c>
      <c r="G54" s="7" t="inlineStr">
        <is>
          <t>Dcard／技術部落格</t>
        </is>
      </c>
      <c r="H54" s="7" t="inlineStr">
        <is>
          <t>L1</t>
        </is>
      </c>
    </row>
    <row r="55">
      <c r="A55" s="10" t="inlineStr">
        <is>
          <t>C04-03</t>
        </is>
      </c>
      <c r="B55" s="10" t="inlineStr">
        <is>
          <t>C04 校園與補教</t>
        </is>
      </c>
      <c r="C55" s="11" t="inlineStr">
        <is>
          <t>校外教學點名，老師的惡夢</t>
        </is>
      </c>
      <c r="D55" s="10" t="inlineStr">
        <is>
          <t>現象觀察</t>
        </is>
      </c>
      <c r="E55" s="12" t="inlineStr">
        <is>
          <t>BLE 區域判讀｜車載考勤</t>
        </is>
      </c>
      <c r="F55" s="11" t="inlineStr">
        <is>
          <t>群體移動的清點需求</t>
        </is>
      </c>
      <c r="G55" s="10" t="inlineStr">
        <is>
          <t>FB 社團</t>
        </is>
      </c>
      <c r="H55" s="10" t="inlineStr">
        <is>
          <t>L1</t>
        </is>
      </c>
    </row>
    <row r="56">
      <c r="A56" s="7" t="inlineStr">
        <is>
          <t>C04-04</t>
        </is>
      </c>
      <c r="B56" s="7" t="inlineStr">
        <is>
          <t>C04 校園與補教</t>
        </is>
      </c>
      <c r="C56" s="8" t="inlineStr">
        <is>
          <t>體育課的心率帶，其實也是定位裝置</t>
        </is>
      </c>
      <c r="D56" s="7" t="inlineStr">
        <is>
          <t>冷知識</t>
        </is>
      </c>
      <c r="E56" s="12" t="inlineStr">
        <is>
          <t>Catapult 運動科學</t>
        </is>
      </c>
      <c r="F56" s="8" t="inlineStr">
        <is>
          <t>穿戴裝置的雙重用途</t>
        </is>
      </c>
      <c r="G56" s="7" t="inlineStr">
        <is>
          <t>Threads</t>
        </is>
      </c>
      <c r="H56" s="7" t="inlineStr">
        <is>
          <t>L1</t>
        </is>
      </c>
    </row>
    <row r="57">
      <c r="A57" s="10" t="inlineStr">
        <is>
          <t>C04-05</t>
        </is>
      </c>
      <c r="B57" s="10" t="inlineStr">
        <is>
          <t>C04 校園與補教</t>
        </is>
      </c>
      <c r="C57" s="11" t="inlineStr">
        <is>
          <t>補習班下課後那段路，家長在擔心什麼</t>
        </is>
      </c>
      <c r="D57" s="10" t="inlineStr">
        <is>
          <t>現象觀察</t>
        </is>
      </c>
      <c r="E57" s="12" t="inlineStr">
        <is>
          <t>群眾網路</t>
        </is>
      </c>
      <c r="F57" s="11" t="inlineStr">
        <is>
          <t>移動段的家長焦慮</t>
        </is>
      </c>
      <c r="G57" s="10" t="inlineStr">
        <is>
          <t>FB 社團</t>
        </is>
      </c>
      <c r="H57" s="10" t="inlineStr">
        <is>
          <t>L1</t>
        </is>
      </c>
    </row>
    <row r="58">
      <c r="A58" s="7" t="inlineStr">
        <is>
          <t>C04-06</t>
        </is>
      </c>
      <c r="B58" s="7" t="inlineStr">
        <is>
          <t>C04 校園與補教</t>
        </is>
      </c>
      <c r="C58" s="8" t="inlineStr">
        <is>
          <t>校園霸凌的地點分布，能被看見嗎</t>
        </is>
      </c>
      <c r="D58" s="7" t="inlineStr">
        <is>
          <t>社會現狀</t>
        </is>
      </c>
      <c r="E58" s="12" t="inlineStr">
        <is>
          <t>區域熱區分析</t>
        </is>
      </c>
      <c r="F58" s="8" t="inlineStr">
        <is>
          <t>定位資料的倫理界線</t>
        </is>
      </c>
      <c r="G58" s="7" t="inlineStr">
        <is>
          <t>Threads</t>
        </is>
      </c>
      <c r="H58" s="7" t="inlineStr">
        <is>
          <t>L0</t>
        </is>
      </c>
    </row>
    <row r="59">
      <c r="A59" s="10" t="inlineStr">
        <is>
          <t>C04-07</t>
        </is>
      </c>
      <c r="B59" s="10" t="inlineStr">
        <is>
          <t>C04 校園與補教</t>
        </is>
      </c>
      <c r="C59" s="11" t="inlineStr">
        <is>
          <t>學生證從刷卡到感應，下一步是什麼</t>
        </is>
      </c>
      <c r="D59" s="10" t="inlineStr">
        <is>
          <t>現象觀察</t>
        </is>
      </c>
      <c r="E59" s="12" t="inlineStr">
        <is>
          <t>BLE｜UWB</t>
        </is>
      </c>
      <c r="F59" s="11" t="inlineStr">
        <is>
          <t>識別技術的演進路徑</t>
        </is>
      </c>
      <c r="G59" s="10" t="inlineStr">
        <is>
          <t>技術部落格</t>
        </is>
      </c>
      <c r="H59" s="10" t="inlineStr">
        <is>
          <t>L1</t>
        </is>
      </c>
    </row>
    <row r="60">
      <c r="A60" s="7" t="inlineStr">
        <is>
          <t>C04-08</t>
        </is>
      </c>
      <c r="B60" s="7" t="inlineStr">
        <is>
          <t>C04 校園與補教</t>
        </is>
      </c>
      <c r="C60" s="8" t="inlineStr">
        <is>
          <t>消防演練，學校要多久才能確認人到齊</t>
        </is>
      </c>
      <c r="D60" s="7" t="inlineStr">
        <is>
          <t>現象觀察</t>
        </is>
      </c>
      <c r="E60" s="12" t="inlineStr">
        <is>
          <t>BLE 人員盤點</t>
        </is>
      </c>
      <c r="F60" s="8" t="inlineStr">
        <is>
          <t>演練盤點是工廠與校園的共同題</t>
        </is>
      </c>
      <c r="G60" s="7" t="inlineStr">
        <is>
          <t>產業媒體</t>
        </is>
      </c>
      <c r="H60" s="7" t="inlineStr">
        <is>
          <t>L2</t>
        </is>
      </c>
    </row>
    <row r="61">
      <c r="A61" s="10" t="inlineStr">
        <is>
          <t>C04-09</t>
        </is>
      </c>
      <c r="B61" s="10" t="inlineStr">
        <is>
          <t>C04 校園與補教</t>
        </is>
      </c>
      <c r="C61" s="11" t="inlineStr">
        <is>
          <t>特教班的學生安全，跟一般班不一樣</t>
        </is>
      </c>
      <c r="D61" s="10" t="inlineStr">
        <is>
          <t>社會現狀</t>
        </is>
      </c>
      <c r="E61" s="12" t="inlineStr">
        <is>
          <t>電子圍籬</t>
        </is>
      </c>
      <c r="F61" s="11" t="inlineStr">
        <is>
          <t>特殊需求族群的非侵入式守護</t>
        </is>
      </c>
      <c r="G61" s="10" t="inlineStr">
        <is>
          <t>FB 社團</t>
        </is>
      </c>
      <c r="H61" s="10" t="inlineStr">
        <is>
          <t>L1</t>
        </is>
      </c>
    </row>
    <row r="62">
      <c r="A62" s="7" t="inlineStr">
        <is>
          <t>C04-10</t>
        </is>
      </c>
      <c r="B62" s="7" t="inlineStr">
        <is>
          <t>C04 校園與補教</t>
        </is>
      </c>
      <c r="C62" s="8" t="inlineStr">
        <is>
          <t>圖書館的書，為什麼還是會找不到</t>
        </is>
      </c>
      <c r="D62" s="7" t="inlineStr">
        <is>
          <t>現象觀察</t>
        </is>
      </c>
      <c r="E62" s="12" t="inlineStr">
        <is>
          <t>RFID｜BLE</t>
        </is>
      </c>
      <c r="F62" s="8" t="inlineStr">
        <is>
          <t>定位與識別的分工</t>
        </is>
      </c>
      <c r="G62" s="7" t="inlineStr">
        <is>
          <t>Threads</t>
        </is>
      </c>
      <c r="H62" s="7" t="inlineStr">
        <is>
          <t>L1</t>
        </is>
      </c>
    </row>
    <row r="63">
      <c r="A63" s="10" t="inlineStr">
        <is>
          <t>C04-11</t>
        </is>
      </c>
      <c r="B63" s="10" t="inlineStr">
        <is>
          <t>C04 校園與補教</t>
        </is>
      </c>
      <c r="C63" s="11" t="inlineStr">
        <is>
          <t>畢業典禮那天，學校有多少人在場</t>
        </is>
      </c>
      <c r="D63" s="10" t="inlineStr">
        <is>
          <t>跨界類比</t>
        </is>
      </c>
      <c r="E63" s="12" t="inlineStr">
        <is>
          <t>人流計數</t>
        </is>
      </c>
      <c r="F63" s="11" t="inlineStr">
        <is>
          <t>大型活動的人數掌握</t>
        </is>
      </c>
      <c r="G63" s="10" t="inlineStr">
        <is>
          <t>Threads</t>
        </is>
      </c>
      <c r="H63" s="10" t="inlineStr">
        <is>
          <t>L0</t>
        </is>
      </c>
    </row>
    <row r="64">
      <c r="A64" s="7" t="inlineStr">
        <is>
          <t>C04-12</t>
        </is>
      </c>
      <c r="B64" s="7" t="inlineStr">
        <is>
          <t>C04 校園與補教</t>
        </is>
      </c>
      <c r="C64" s="8" t="inlineStr">
        <is>
          <t>你在學校遺失過最貴的東西是什麼</t>
        </is>
      </c>
      <c r="D64" s="7" t="inlineStr">
        <is>
          <t>問卷調查</t>
        </is>
      </c>
      <c r="E64" s="8" t="inlineStr">
        <is>
          <t>—</t>
        </is>
      </c>
      <c r="F64" s="8" t="inlineStr">
        <is>
          <t>用互動問題建立話題</t>
        </is>
      </c>
      <c r="G64" s="7" t="inlineStr">
        <is>
          <t>Dcard</t>
        </is>
      </c>
      <c r="H64" s="7" t="inlineStr">
        <is>
          <t>L0</t>
        </is>
      </c>
    </row>
    <row r="65">
      <c r="A65" s="10" t="inlineStr">
        <is>
          <t>C04-13</t>
        </is>
      </c>
      <c r="B65" s="10" t="inlineStr">
        <is>
          <t>C04 校園與補教</t>
        </is>
      </c>
      <c r="C65" s="11" t="inlineStr">
        <is>
          <t>宿舍門禁刷卡的資料，誰看得到</t>
        </is>
      </c>
      <c r="D65" s="10" t="inlineStr">
        <is>
          <t>社會現狀</t>
        </is>
      </c>
      <c r="E65" s="12" t="inlineStr">
        <is>
          <t>個資與最小權限</t>
        </is>
      </c>
      <c r="F65" s="11" t="inlineStr">
        <is>
          <t>定位資料的權限設計</t>
        </is>
      </c>
      <c r="G65" s="10" t="inlineStr">
        <is>
          <t>Dcard</t>
        </is>
      </c>
      <c r="H65" s="10" t="inlineStr">
        <is>
          <t>L0</t>
        </is>
      </c>
    </row>
    <row r="66">
      <c r="A66" s="7" t="inlineStr">
        <is>
          <t>C04-14</t>
        </is>
      </c>
      <c r="B66" s="7" t="inlineStr">
        <is>
          <t>C04 校園與補教</t>
        </is>
      </c>
      <c r="C66" s="8" t="inlineStr">
        <is>
          <t>校車路線最佳化，其實是個數學問題</t>
        </is>
      </c>
      <c r="D66" s="7" t="inlineStr">
        <is>
          <t>市場調查</t>
        </is>
      </c>
      <c r="E66" s="12" t="inlineStr">
        <is>
          <t>GNSS 車輛追蹤</t>
        </is>
      </c>
      <c r="F66" s="8" t="inlineStr">
        <is>
          <t>接送排程的效率空間</t>
        </is>
      </c>
      <c r="G66" s="7" t="inlineStr">
        <is>
          <t>技術部落格</t>
        </is>
      </c>
      <c r="H66" s="7" t="inlineStr">
        <is>
          <t>L1</t>
        </is>
      </c>
    </row>
    <row r="67">
      <c r="A67" s="10" t="inlineStr">
        <is>
          <t>C04-15</t>
        </is>
      </c>
      <c r="B67" s="10" t="inlineStr">
        <is>
          <t>C04 校園與補教</t>
        </is>
      </c>
      <c r="C67" s="11" t="inlineStr">
        <is>
          <t>國外校園怎麼做上下車考勤</t>
        </is>
      </c>
      <c r="D67" s="10" t="inlineStr">
        <is>
          <t>市場調查</t>
        </is>
      </c>
      <c r="E67" s="12" t="inlineStr">
        <is>
          <t>BLE 車載閘道器</t>
        </is>
      </c>
      <c r="F67" s="11" t="inlineStr">
        <is>
          <t>國際做法對照</t>
        </is>
      </c>
      <c r="G67" s="10" t="inlineStr">
        <is>
          <t>產業媒體</t>
        </is>
      </c>
      <c r="H67" s="10" t="inlineStr">
        <is>
          <t>L2</t>
        </is>
      </c>
    </row>
    <row r="68">
      <c r="A68" s="7" t="inlineStr">
        <is>
          <t>C04-16</t>
        </is>
      </c>
      <c r="B68" s="7" t="inlineStr">
        <is>
          <t>C04 校園與補教</t>
        </is>
      </c>
      <c r="C68" s="8" t="inlineStr">
        <is>
          <t>老師最想要的科技工具是什麼（問卷）</t>
        </is>
      </c>
      <c r="D68" s="7" t="inlineStr">
        <is>
          <t>問卷調查</t>
        </is>
      </c>
      <c r="E68" s="8" t="inlineStr">
        <is>
          <t>—</t>
        </is>
      </c>
      <c r="F68" s="8" t="inlineStr">
        <is>
          <t>需求挖掘型互動</t>
        </is>
      </c>
      <c r="G68" s="7" t="inlineStr">
        <is>
          <t>FB 社團</t>
        </is>
      </c>
      <c r="H68" s="7" t="inlineStr">
        <is>
          <t>L0</t>
        </is>
      </c>
    </row>
    <row r="69">
      <c r="A69" s="10" t="inlineStr">
        <is>
          <t>C04-17</t>
        </is>
      </c>
      <c r="B69" s="10" t="inlineStr">
        <is>
          <t>C04 校園與補教</t>
        </is>
      </c>
      <c r="C69" s="11" t="inlineStr">
        <is>
          <t>一支手機就能當接收器，校園適用嗎</t>
        </is>
      </c>
      <c r="D69" s="10" t="inlineStr">
        <is>
          <t>跨界類比</t>
        </is>
      </c>
      <c r="E69" s="12" t="inlineStr">
        <is>
          <t>群眾網路｜員工手機接收</t>
        </is>
      </c>
      <c r="F69" s="11" t="inlineStr">
        <is>
          <t>零硬體成本方案的可行性</t>
        </is>
      </c>
      <c r="G69" s="10" t="inlineStr">
        <is>
          <t>技術部落格</t>
        </is>
      </c>
      <c r="H69" s="10" t="inlineStr">
        <is>
          <t>L2</t>
        </is>
      </c>
    </row>
    <row r="70">
      <c r="A70" s="7" t="inlineStr">
        <is>
          <t>C05-01</t>
        </is>
      </c>
      <c r="B70" s="7" t="inlineStr">
        <is>
          <t>C05 運動健身與路跑</t>
        </is>
      </c>
      <c r="C70" s="8" t="inlineStr">
        <is>
          <t>馬拉松晶片計時，用的是什麼技術</t>
        </is>
      </c>
      <c r="D70" s="7" t="inlineStr">
        <is>
          <t>冷知識</t>
        </is>
      </c>
      <c r="E70" s="12" t="inlineStr">
        <is>
          <t>RFID 計時毯｜UWB</t>
        </is>
      </c>
      <c r="F70" s="8" t="inlineStr">
        <is>
          <t>大型賽事的通過點偵測</t>
        </is>
      </c>
      <c r="G70" s="7" t="inlineStr">
        <is>
          <t>Threads</t>
        </is>
      </c>
      <c r="H70" s="7" t="inlineStr">
        <is>
          <t>L1</t>
        </is>
      </c>
    </row>
    <row r="71">
      <c r="A71" s="10" t="inlineStr">
        <is>
          <t>C05-02</t>
        </is>
      </c>
      <c r="B71" s="10" t="inlineStr">
        <is>
          <t>C05 運動健身與路跑</t>
        </is>
      </c>
      <c r="C71" s="11" t="inlineStr">
        <is>
          <t>職業球隊的球員追蹤，精度到什麼程度</t>
        </is>
      </c>
      <c r="D71" s="10" t="inlineStr">
        <is>
          <t>市場調查</t>
        </is>
      </c>
      <c r="E71" s="12" t="inlineStr">
        <is>
          <t>Kinexon｜Catapult｜STATSports</t>
        </is>
      </c>
      <c r="F71" s="11" t="inlineStr">
        <is>
          <t>國際頂級 RTLS 的實戰應用</t>
        </is>
      </c>
      <c r="G71" s="10" t="inlineStr">
        <is>
          <t>Mobile01／技術部落格</t>
        </is>
      </c>
      <c r="H71" s="10" t="inlineStr">
        <is>
          <t>L2</t>
        </is>
      </c>
    </row>
    <row r="72">
      <c r="A72" s="7" t="inlineStr">
        <is>
          <t>C05-03</t>
        </is>
      </c>
      <c r="B72" s="7" t="inlineStr">
        <is>
          <t>C05 運動健身與路跑</t>
        </is>
      </c>
      <c r="C72" s="8" t="inlineStr">
        <is>
          <t>健身房的器材使用率，其實可以量</t>
        </is>
      </c>
      <c r="D72" s="7" t="inlineStr">
        <is>
          <t>現象觀察</t>
        </is>
      </c>
      <c r="E72" s="12" t="inlineStr">
        <is>
          <t>BLE 資產標籤</t>
        </is>
      </c>
      <c r="F72" s="8" t="inlineStr">
        <is>
          <t>使用率分析的商業價值</t>
        </is>
      </c>
      <c r="G72" s="7" t="inlineStr">
        <is>
          <t>產業媒體</t>
        </is>
      </c>
      <c r="H72" s="7" t="inlineStr">
        <is>
          <t>L1</t>
        </is>
      </c>
    </row>
    <row r="73">
      <c r="A73" s="10" t="inlineStr">
        <is>
          <t>C05-04</t>
        </is>
      </c>
      <c r="B73" s="10" t="inlineStr">
        <is>
          <t>C05 運動健身與路跑</t>
        </is>
      </c>
      <c r="C73" s="11" t="inlineStr">
        <is>
          <t>跑者最常掉的裝備排行</t>
        </is>
      </c>
      <c r="D73" s="10" t="inlineStr">
        <is>
          <t>市場調查</t>
        </is>
      </c>
      <c r="E73" s="12" t="inlineStr">
        <is>
          <t>Tile｜Find My</t>
        </is>
      </c>
      <c r="F73" s="11" t="inlineStr">
        <is>
          <t>高單價運動裝備的防丟需求</t>
        </is>
      </c>
      <c r="G73" s="10" t="inlineStr">
        <is>
          <t>Threads</t>
        </is>
      </c>
      <c r="H73" s="10" t="inlineStr">
        <is>
          <t>L0</t>
        </is>
      </c>
    </row>
    <row r="74">
      <c r="A74" s="7" t="inlineStr">
        <is>
          <t>C05-05</t>
        </is>
      </c>
      <c r="B74" s="7" t="inlineStr">
        <is>
          <t>C05 運動健身與路跑</t>
        </is>
      </c>
      <c r="C74" s="8" t="inlineStr">
        <is>
          <t>越野跑失聯，救援怎麼找人</t>
        </is>
      </c>
      <c r="D74" s="7" t="inlineStr">
        <is>
          <t>現象觀察</t>
        </is>
      </c>
      <c r="E74" s="12" t="inlineStr">
        <is>
          <t>GNSS｜衛星通訊</t>
        </is>
      </c>
      <c r="F74" s="8" t="inlineStr">
        <is>
          <t>低密度區的定位極限</t>
        </is>
      </c>
      <c r="G74" s="7" t="inlineStr">
        <is>
          <t>Threads</t>
        </is>
      </c>
      <c r="H74" s="7" t="inlineStr">
        <is>
          <t>L1</t>
        </is>
      </c>
    </row>
    <row r="75">
      <c r="A75" s="10" t="inlineStr">
        <is>
          <t>C05-06</t>
        </is>
      </c>
      <c r="B75" s="10" t="inlineStr">
        <is>
          <t>C05 運動健身與路跑</t>
        </is>
      </c>
      <c r="C75" s="11" t="inlineStr">
        <is>
          <t>運動手錶的 GPS 到底準不準</t>
        </is>
      </c>
      <c r="D75" s="10" t="inlineStr">
        <is>
          <t>問卷調查</t>
        </is>
      </c>
      <c r="E75" s="12" t="inlineStr">
        <is>
          <t>GNSS 多頻</t>
        </is>
      </c>
      <c r="F75" s="11" t="inlineStr">
        <is>
          <t>消費者最關心的精度問題</t>
        </is>
      </c>
      <c r="G75" s="10" t="inlineStr">
        <is>
          <t>Mobile01</t>
        </is>
      </c>
      <c r="H75" s="10" t="inlineStr">
        <is>
          <t>L2</t>
        </is>
      </c>
    </row>
    <row r="76">
      <c r="A76" s="7" t="inlineStr">
        <is>
          <t>C05-07</t>
        </is>
      </c>
      <c r="B76" s="7" t="inlineStr">
        <is>
          <t>C05 運動健身與路跑</t>
        </is>
      </c>
      <c r="C76" s="8" t="inlineStr">
        <is>
          <t>你會為了安全戴定位裝置嗎（跑者投票）</t>
        </is>
      </c>
      <c r="D76" s="7" t="inlineStr">
        <is>
          <t>問卷調查</t>
        </is>
      </c>
      <c r="E76" s="8" t="inlineStr">
        <is>
          <t>—</t>
        </is>
      </c>
      <c r="F76" s="8" t="inlineStr">
        <is>
          <t>配戴意願的另一個族群驗證</t>
        </is>
      </c>
      <c r="G76" s="7" t="inlineStr">
        <is>
          <t>Threads</t>
        </is>
      </c>
      <c r="H76" s="7" t="inlineStr">
        <is>
          <t>L0</t>
        </is>
      </c>
    </row>
    <row r="77">
      <c r="A77" s="10" t="inlineStr">
        <is>
          <t>C05-08</t>
        </is>
      </c>
      <c r="B77" s="10" t="inlineStr">
        <is>
          <t>C05 運動健身與路跑</t>
        </is>
      </c>
      <c r="C77" s="11" t="inlineStr">
        <is>
          <t>泳池與海泳，定位為什麼更難</t>
        </is>
      </c>
      <c r="D77" s="10" t="inlineStr">
        <is>
          <t>冷知識</t>
        </is>
      </c>
      <c r="E77" s="12" t="inlineStr">
        <is>
          <t>射頻在水中的衰減</t>
        </is>
      </c>
      <c r="F77" s="11" t="inlineStr">
        <is>
          <t>技術限制的誠實說明</t>
        </is>
      </c>
      <c r="G77" s="10" t="inlineStr">
        <is>
          <t>Mobile01</t>
        </is>
      </c>
      <c r="H77" s="10" t="inlineStr">
        <is>
          <t>L1</t>
        </is>
      </c>
    </row>
    <row r="78">
      <c r="A78" s="7" t="inlineStr">
        <is>
          <t>C05-09</t>
        </is>
      </c>
      <c r="B78" s="7" t="inlineStr">
        <is>
          <t>C05 運動健身與路跑</t>
        </is>
      </c>
      <c r="C78" s="8" t="inlineStr">
        <is>
          <t>銀髮運動班的安全管理</t>
        </is>
      </c>
      <c r="D78" s="7" t="inlineStr">
        <is>
          <t>現象觀察</t>
        </is>
      </c>
      <c r="E78" s="12" t="inlineStr">
        <is>
          <t>BLE 區域判讀</t>
        </is>
      </c>
      <c r="F78" s="8" t="inlineStr">
        <is>
          <t>銀髮族群的活動場域安全</t>
        </is>
      </c>
      <c r="G78" s="7" t="inlineStr">
        <is>
          <t>產業媒體</t>
        </is>
      </c>
      <c r="H78" s="7" t="inlineStr">
        <is>
          <t>L2</t>
        </is>
      </c>
    </row>
    <row r="79">
      <c r="A79" s="10" t="inlineStr">
        <is>
          <t>C05-10</t>
        </is>
      </c>
      <c r="B79" s="10" t="inlineStr">
        <is>
          <t>C05 運動健身與路跑</t>
        </is>
      </c>
      <c r="C79" s="11" t="inlineStr">
        <is>
          <t>健身房置物櫃失竊的真實比例</t>
        </is>
      </c>
      <c r="D79" s="10" t="inlineStr">
        <is>
          <t>市場調查</t>
        </is>
      </c>
      <c r="E79" s="11" t="inlineStr">
        <is>
          <t>—</t>
        </is>
      </c>
      <c r="F79" s="11" t="inlineStr">
        <is>
          <t>場域安全與資產保護</t>
        </is>
      </c>
      <c r="G79" s="10" t="inlineStr">
        <is>
          <t>Threads</t>
        </is>
      </c>
      <c r="H79" s="10" t="inlineStr">
        <is>
          <t>L0</t>
        </is>
      </c>
    </row>
    <row r="80">
      <c r="A80" s="7" t="inlineStr">
        <is>
          <t>C05-11</t>
        </is>
      </c>
      <c r="B80" s="7" t="inlineStr">
        <is>
          <t>C05 運動健身與路跑</t>
        </is>
      </c>
      <c r="C80" s="8" t="inlineStr">
        <is>
          <t>自行車失竊後，找回率有多低</t>
        </is>
      </c>
      <c r="D80" s="7" t="inlineStr">
        <is>
          <t>市場調查</t>
        </is>
      </c>
      <c r="E80" s="12" t="inlineStr">
        <is>
          <t>Find My｜GPS 追蹤器</t>
        </is>
      </c>
      <c r="F80" s="8" t="inlineStr">
        <is>
          <t>高價資產的追回現實</t>
        </is>
      </c>
      <c r="G80" s="7" t="inlineStr">
        <is>
          <t>Mobile01</t>
        </is>
      </c>
      <c r="H80" s="7" t="inlineStr">
        <is>
          <t>L2</t>
        </is>
      </c>
    </row>
    <row r="81">
      <c r="A81" s="10" t="inlineStr">
        <is>
          <t>C05-12</t>
        </is>
      </c>
      <c r="B81" s="10" t="inlineStr">
        <is>
          <t>C05 運動健身與路跑</t>
        </is>
      </c>
      <c r="C81" s="11" t="inlineStr">
        <is>
          <t>電動輔助自行車，為什麼更容易被偷</t>
        </is>
      </c>
      <c r="D81" s="10" t="inlineStr">
        <is>
          <t>現象觀察</t>
        </is>
      </c>
      <c r="E81" s="12" t="inlineStr">
        <is>
          <t>GPS 追蹤器</t>
        </is>
      </c>
      <c r="F81" s="11" t="inlineStr">
        <is>
          <t>高價品的防盜設計</t>
        </is>
      </c>
      <c r="G81" s="10" t="inlineStr">
        <is>
          <t>Mobile01</t>
        </is>
      </c>
      <c r="H81" s="10" t="inlineStr">
        <is>
          <t>L1</t>
        </is>
      </c>
    </row>
    <row r="82">
      <c r="A82" s="7" t="inlineStr">
        <is>
          <t>C05-13</t>
        </is>
      </c>
      <c r="B82" s="7" t="inlineStr">
        <is>
          <t>C05 運動健身與路跑</t>
        </is>
      </c>
      <c r="C82" s="8" t="inlineStr">
        <is>
          <t>運動賽事的人流動線，主辦方怎麼看</t>
        </is>
      </c>
      <c r="D82" s="7" t="inlineStr">
        <is>
          <t>現象觀察</t>
        </is>
      </c>
      <c r="E82" s="12" t="inlineStr">
        <is>
          <t>BLE｜Wi-Fi 定位</t>
        </is>
      </c>
      <c r="F82" s="8" t="inlineStr">
        <is>
          <t>大型活動的動線管理</t>
        </is>
      </c>
      <c r="G82" s="7" t="inlineStr">
        <is>
          <t>產業媒體</t>
        </is>
      </c>
      <c r="H82" s="7" t="inlineStr">
        <is>
          <t>L1</t>
        </is>
      </c>
    </row>
    <row r="83">
      <c r="A83" s="10" t="inlineStr">
        <is>
          <t>C05-14</t>
        </is>
      </c>
      <c r="B83" s="10" t="inlineStr">
        <is>
          <t>C05 運動健身與路跑</t>
        </is>
      </c>
      <c r="C83" s="11" t="inlineStr">
        <is>
          <t>親子路跑，小孩跑丟了怎麼辦</t>
        </is>
      </c>
      <c r="D83" s="10" t="inlineStr">
        <is>
          <t>個人發現</t>
        </is>
      </c>
      <c r="E83" s="12" t="inlineStr">
        <is>
          <t>群眾網路</t>
        </is>
      </c>
      <c r="F83" s="11" t="inlineStr">
        <is>
          <t>活動現場的協尋現實</t>
        </is>
      </c>
      <c r="G83" s="10" t="inlineStr">
        <is>
          <t>Threads</t>
        </is>
      </c>
      <c r="H83" s="10" t="inlineStr">
        <is>
          <t>L1</t>
        </is>
      </c>
    </row>
    <row r="84">
      <c r="A84" s="7" t="inlineStr">
        <is>
          <t>C05-15</t>
        </is>
      </c>
      <c r="B84" s="7" t="inlineStr">
        <is>
          <t>C05 運動健身與路跑</t>
        </is>
      </c>
      <c r="C84" s="8" t="inlineStr">
        <is>
          <t>穿戴裝置的續航焦慮，跨品類都一樣</t>
        </is>
      </c>
      <c r="D84" s="7" t="inlineStr">
        <is>
          <t>跨界類比</t>
        </is>
      </c>
      <c r="E84" s="12" t="inlineStr">
        <is>
          <t>Bluetooth 低功耗設計</t>
        </is>
      </c>
      <c r="F84" s="8" t="inlineStr">
        <is>
          <t>續航是所有穿戴的共同天花板</t>
        </is>
      </c>
      <c r="G84" s="7" t="inlineStr">
        <is>
          <t>Mobile01</t>
        </is>
      </c>
      <c r="H84" s="7" t="inlineStr">
        <is>
          <t>L2</t>
        </is>
      </c>
    </row>
    <row r="85">
      <c r="A85" s="10" t="inlineStr">
        <is>
          <t>C05-16</t>
        </is>
      </c>
      <c r="B85" s="10" t="inlineStr">
        <is>
          <t>C05 運動健身與路跑</t>
        </is>
      </c>
      <c r="C85" s="11" t="inlineStr">
        <is>
          <t>鞋子裡的感測器，運動科學早就在做</t>
        </is>
      </c>
      <c r="D85" s="10" t="inlineStr">
        <is>
          <t>跨界類比</t>
        </is>
      </c>
      <c r="E85" s="12" t="inlineStr">
        <is>
          <t>智慧鞋墊／足壓感測</t>
        </is>
      </c>
      <c r="F85" s="11" t="inlineStr">
        <is>
          <t>鞋內裝置的接受度早已被驗證</t>
        </is>
      </c>
      <c r="G85" s="10" t="inlineStr">
        <is>
          <t>技術部落格</t>
        </is>
      </c>
      <c r="H85" s="10" t="inlineStr">
        <is>
          <t>L2</t>
        </is>
      </c>
    </row>
    <row r="86">
      <c r="A86" s="7" t="inlineStr">
        <is>
          <t>C05-17</t>
        </is>
      </c>
      <c r="B86" s="7" t="inlineStr">
        <is>
          <t>C05 運動健身與路跑</t>
        </is>
      </c>
      <c r="C86" s="8" t="inlineStr">
        <is>
          <t>登山客的緊急求救，按得到嗎</t>
        </is>
      </c>
      <c r="D86" s="7" t="inlineStr">
        <is>
          <t>現象觀察</t>
        </is>
      </c>
      <c r="E86" s="12" t="inlineStr">
        <is>
          <t>SOS 按鈕設計</t>
        </is>
      </c>
      <c r="F86" s="8" t="inlineStr">
        <is>
          <t>求救鍵的實際可用性</t>
        </is>
      </c>
      <c r="G86" s="7" t="inlineStr">
        <is>
          <t>Threads</t>
        </is>
      </c>
      <c r="H86" s="7" t="inlineStr">
        <is>
          <t>L1</t>
        </is>
      </c>
    </row>
    <row r="87">
      <c r="A87" s="10" t="inlineStr">
        <is>
          <t>C06-01</t>
        </is>
      </c>
      <c r="B87" s="10" t="inlineStr">
        <is>
          <t>C06 登山露營與戶外</t>
        </is>
      </c>
      <c r="C87" s="11" t="inlineStr">
        <is>
          <t>山難搜救，第一步永遠是縮小範圍</t>
        </is>
      </c>
      <c r="D87" s="10" t="inlineStr">
        <is>
          <t>現象觀察</t>
        </is>
      </c>
      <c r="E87" s="12" t="inlineStr">
        <is>
          <t>GNSS｜衛星求救器</t>
        </is>
      </c>
      <c r="F87" s="11" t="inlineStr">
        <is>
          <t>最後偵測位置的核心價值就是縮範圍</t>
        </is>
      </c>
      <c r="G87" s="10" t="inlineStr">
        <is>
          <t>Threads／Mobile01</t>
        </is>
      </c>
      <c r="H87" s="10" t="inlineStr">
        <is>
          <t>L1</t>
        </is>
      </c>
    </row>
    <row r="88">
      <c r="A88" s="7" t="inlineStr">
        <is>
          <t>C06-02</t>
        </is>
      </c>
      <c r="B88" s="7" t="inlineStr">
        <is>
          <t>C06 登山露營與戶外</t>
        </is>
      </c>
      <c r="C88" s="8" t="inlineStr">
        <is>
          <t>離線地圖救了我一次</t>
        </is>
      </c>
      <c r="D88" s="7" t="inlineStr">
        <is>
          <t>個人發現</t>
        </is>
      </c>
      <c r="E88" s="12" t="inlineStr">
        <is>
          <t>GNSS 離線定位</t>
        </is>
      </c>
      <c r="F88" s="8" t="inlineStr">
        <is>
          <t>斷網環境下的定位現實</t>
        </is>
      </c>
      <c r="G88" s="7" t="inlineStr">
        <is>
          <t>Mobile01</t>
        </is>
      </c>
      <c r="H88" s="7" t="inlineStr">
        <is>
          <t>L1</t>
        </is>
      </c>
    </row>
    <row r="89">
      <c r="A89" s="10" t="inlineStr">
        <is>
          <t>C06-03</t>
        </is>
      </c>
      <c r="B89" s="10" t="inlineStr">
        <is>
          <t>C06 登山露營與戶外</t>
        </is>
      </c>
      <c r="C89" s="11" t="inlineStr">
        <is>
          <t>登山入園證與實際入山人數的落差</t>
        </is>
      </c>
      <c r="D89" s="10" t="inlineStr">
        <is>
          <t>市場調查</t>
        </is>
      </c>
      <c r="E89" s="11" t="inlineStr">
        <is>
          <t>—</t>
        </is>
      </c>
      <c r="F89" s="11" t="inlineStr">
        <is>
          <t>名冊與實況的落差，機構也一樣</t>
        </is>
      </c>
      <c r="G89" s="10" t="inlineStr">
        <is>
          <t>Threads</t>
        </is>
      </c>
      <c r="H89" s="10" t="inlineStr">
        <is>
          <t>L0</t>
        </is>
      </c>
    </row>
    <row r="90">
      <c r="A90" s="7" t="inlineStr">
        <is>
          <t>C06-04</t>
        </is>
      </c>
      <c r="B90" s="7" t="inlineStr">
        <is>
          <t>C06 登山露營與戶外</t>
        </is>
      </c>
      <c r="C90" s="8" t="inlineStr">
        <is>
          <t>露營區的小孩與長輩，誰在看著</t>
        </is>
      </c>
      <c r="D90" s="7" t="inlineStr">
        <is>
          <t>現象觀察</t>
        </is>
      </c>
      <c r="E90" s="12" t="inlineStr">
        <is>
          <t>群眾網路密度</t>
        </is>
      </c>
      <c r="F90" s="8" t="inlineStr">
        <is>
          <t>低密度區的誠實限制</t>
        </is>
      </c>
      <c r="G90" s="7" t="inlineStr">
        <is>
          <t>FB 社團</t>
        </is>
      </c>
      <c r="H90" s="7" t="inlineStr">
        <is>
          <t>L1</t>
        </is>
      </c>
    </row>
    <row r="91">
      <c r="A91" s="10" t="inlineStr">
        <is>
          <t>C06-05</t>
        </is>
      </c>
      <c r="B91" s="10" t="inlineStr">
        <is>
          <t>C06 登山露營與戶外</t>
        </is>
      </c>
      <c r="C91" s="11" t="inlineStr">
        <is>
          <t>帳篷、睡袋、椅子：露營最常忘記帶走的東西</t>
        </is>
      </c>
      <c r="D91" s="10" t="inlineStr">
        <is>
          <t>市場調查</t>
        </is>
      </c>
      <c r="E91" s="12" t="inlineStr">
        <is>
          <t>Tile｜Find My</t>
        </is>
      </c>
      <c r="F91" s="11" t="inlineStr">
        <is>
          <t>裝備清點的自動化想像</t>
        </is>
      </c>
      <c r="G91" s="10" t="inlineStr">
        <is>
          <t>Threads</t>
        </is>
      </c>
      <c r="H91" s="10" t="inlineStr">
        <is>
          <t>L0</t>
        </is>
      </c>
    </row>
    <row r="92">
      <c r="A92" s="7" t="inlineStr">
        <is>
          <t>C06-06</t>
        </is>
      </c>
      <c r="B92" s="7" t="inlineStr">
        <is>
          <t>C06 登山露營與戶外</t>
        </is>
      </c>
      <c r="C92" s="8" t="inlineStr">
        <is>
          <t>為什麼山上手機沒訊號，定位還能用</t>
        </is>
      </c>
      <c r="D92" s="7" t="inlineStr">
        <is>
          <t>冷知識</t>
        </is>
      </c>
      <c r="E92" s="12" t="inlineStr">
        <is>
          <t>GNSS 不需網路</t>
        </is>
      </c>
      <c r="F92" s="8" t="inlineStr">
        <is>
          <t>衛星定位與網路回傳是兩件事</t>
        </is>
      </c>
      <c r="G92" s="7" t="inlineStr">
        <is>
          <t>Mobile01</t>
        </is>
      </c>
      <c r="H92" s="7" t="inlineStr">
        <is>
          <t>L1</t>
        </is>
      </c>
    </row>
    <row r="93">
      <c r="A93" s="10" t="inlineStr">
        <is>
          <t>C06-07</t>
        </is>
      </c>
      <c r="B93" s="10" t="inlineStr">
        <is>
          <t>C06 登山露營與戶外</t>
        </is>
      </c>
      <c r="C93" s="11" t="inlineStr">
        <is>
          <t>衛星通訊手機，改變了什麼</t>
        </is>
      </c>
      <c r="D93" s="10" t="inlineStr">
        <is>
          <t>市場調查</t>
        </is>
      </c>
      <c r="E93" s="12" t="inlineStr">
        <is>
          <t>衛星直連手機服務</t>
        </is>
      </c>
      <c r="F93" s="11" t="inlineStr">
        <is>
          <t>極端環境的通訊演進</t>
        </is>
      </c>
      <c r="G93" s="10" t="inlineStr">
        <is>
          <t>Mobile01</t>
        </is>
      </c>
      <c r="H93" s="10" t="inlineStr">
        <is>
          <t>L1</t>
        </is>
      </c>
    </row>
    <row r="94">
      <c r="A94" s="7" t="inlineStr">
        <is>
          <t>C06-08</t>
        </is>
      </c>
      <c r="B94" s="7" t="inlineStr">
        <is>
          <t>C06 登山露營與戶外</t>
        </is>
      </c>
      <c r="C94" s="8" t="inlineStr">
        <is>
          <t>一個人的獨攀，風險在哪裡</t>
        </is>
      </c>
      <c r="D94" s="7" t="inlineStr">
        <is>
          <t>社會現狀</t>
        </is>
      </c>
      <c r="E94" s="12" t="inlineStr">
        <is>
          <t>單獨作業告警概念</t>
        </is>
      </c>
      <c r="F94" s="8" t="inlineStr">
        <is>
          <t>久未移動告警的跨場域邏輯</t>
        </is>
      </c>
      <c r="G94" s="7" t="inlineStr">
        <is>
          <t>Threads</t>
        </is>
      </c>
      <c r="H94" s="7" t="inlineStr">
        <is>
          <t>L1</t>
        </is>
      </c>
    </row>
    <row r="95">
      <c r="A95" s="10" t="inlineStr">
        <is>
          <t>C06-09</t>
        </is>
      </c>
      <c r="B95" s="10" t="inlineStr">
        <is>
          <t>C06 登山露營與戶外</t>
        </is>
      </c>
      <c r="C95" s="11" t="inlineStr">
        <is>
          <t>搜救隊最想要的一項資訊是什麼</t>
        </is>
      </c>
      <c r="D95" s="10" t="inlineStr">
        <is>
          <t>問卷調查</t>
        </is>
      </c>
      <c r="E95" s="11" t="inlineStr">
        <is>
          <t>—</t>
        </is>
      </c>
      <c r="F95" s="11" t="inlineStr">
        <is>
          <t>用專業視角定義需求</t>
        </is>
      </c>
      <c r="G95" s="10" t="inlineStr">
        <is>
          <t>Threads</t>
        </is>
      </c>
      <c r="H95" s="10" t="inlineStr">
        <is>
          <t>L0</t>
        </is>
      </c>
    </row>
    <row r="96">
      <c r="A96" s="7" t="inlineStr">
        <is>
          <t>C06-10</t>
        </is>
      </c>
      <c r="B96" s="7" t="inlineStr">
        <is>
          <t>C06 登山露營與戶外</t>
        </is>
      </c>
      <c r="C96" s="8" t="inlineStr">
        <is>
          <t>國家公園的巡查員，怎麼確保自身安全</t>
        </is>
      </c>
      <c r="D96" s="7" t="inlineStr">
        <is>
          <t>現象觀察</t>
        </is>
      </c>
      <c r="E96" s="12" t="inlineStr">
        <is>
          <t>BLE｜GNSS</t>
        </is>
      </c>
      <c r="F96" s="8" t="inlineStr">
        <is>
          <t>戶外工作者的人員安全</t>
        </is>
      </c>
      <c r="G96" s="7" t="inlineStr">
        <is>
          <t>產業媒體</t>
        </is>
      </c>
      <c r="H96" s="7" t="inlineStr">
        <is>
          <t>L1</t>
        </is>
      </c>
    </row>
    <row r="97">
      <c r="A97" s="10" t="inlineStr">
        <is>
          <t>C06-11</t>
        </is>
      </c>
      <c r="B97" s="10" t="inlineStr">
        <is>
          <t>C06 登山露營與戶外</t>
        </is>
      </c>
      <c r="C97" s="11" t="inlineStr">
        <is>
          <t>潛水的水下定位，用的完全不是無線電</t>
        </is>
      </c>
      <c r="D97" s="10" t="inlineStr">
        <is>
          <t>冷知識</t>
        </is>
      </c>
      <c r="E97" s="12" t="inlineStr">
        <is>
          <t>聲學定位</t>
        </is>
      </c>
      <c r="F97" s="11" t="inlineStr">
        <is>
          <t>不同介質需要不同技術</t>
        </is>
      </c>
      <c r="G97" s="10" t="inlineStr">
        <is>
          <t>Mobile01</t>
        </is>
      </c>
      <c r="H97" s="10" t="inlineStr">
        <is>
          <t>L1</t>
        </is>
      </c>
    </row>
    <row r="98">
      <c r="A98" s="7" t="inlineStr">
        <is>
          <t>C06-12</t>
        </is>
      </c>
      <c r="B98" s="7" t="inlineStr">
        <is>
          <t>C06 登山露營與戶外</t>
        </is>
      </c>
      <c r="C98" s="8" t="inlineStr">
        <is>
          <t>溯溪與野溪溫泉的意外分布</t>
        </is>
      </c>
      <c r="D98" s="7" t="inlineStr">
        <is>
          <t>市場調查</t>
        </is>
      </c>
      <c r="E98" s="8" t="inlineStr">
        <is>
          <t>—</t>
        </is>
      </c>
      <c r="F98" s="8" t="inlineStr">
        <is>
          <t>風險場域的資料化</t>
        </is>
      </c>
      <c r="G98" s="7" t="inlineStr">
        <is>
          <t>Threads</t>
        </is>
      </c>
      <c r="H98" s="7" t="inlineStr">
        <is>
          <t>L0</t>
        </is>
      </c>
    </row>
    <row r="99">
      <c r="A99" s="10" t="inlineStr">
        <is>
          <t>C06-13</t>
        </is>
      </c>
      <c r="B99" s="10" t="inlineStr">
        <is>
          <t>C06 登山露營與戶外</t>
        </is>
      </c>
      <c r="C99" s="11" t="inlineStr">
        <is>
          <t>戶外裝備的二手轉賣，序號查得到嗎</t>
        </is>
      </c>
      <c r="D99" s="10" t="inlineStr">
        <is>
          <t>現象觀察</t>
        </is>
      </c>
      <c r="E99" s="12" t="inlineStr">
        <is>
          <t>序號與保固紀錄</t>
        </is>
      </c>
      <c r="F99" s="11" t="inlineStr">
        <is>
          <t>資產識別的基礎</t>
        </is>
      </c>
      <c r="G99" s="10" t="inlineStr">
        <is>
          <t>Mobile01</t>
        </is>
      </c>
      <c r="H99" s="10" t="inlineStr">
        <is>
          <t>L1</t>
        </is>
      </c>
    </row>
    <row r="100">
      <c r="A100" s="7" t="inlineStr">
        <is>
          <t>C06-14</t>
        </is>
      </c>
      <c r="B100" s="7" t="inlineStr">
        <is>
          <t>C06 登山露營與戶外</t>
        </is>
      </c>
      <c r="C100" s="8" t="inlineStr">
        <is>
          <t>高山症發作的那一刻，同伴在多遠</t>
        </is>
      </c>
      <c r="D100" s="7" t="inlineStr">
        <is>
          <t>個人發現</t>
        </is>
      </c>
      <c r="E100" s="12" t="inlineStr">
        <is>
          <t>距離感知</t>
        </is>
      </c>
      <c r="F100" s="8" t="inlineStr">
        <is>
          <t>Channel Sounding 的距離應用</t>
        </is>
      </c>
      <c r="G100" s="7" t="inlineStr">
        <is>
          <t>Threads</t>
        </is>
      </c>
      <c r="H100" s="7" t="inlineStr">
        <is>
          <t>L2</t>
        </is>
      </c>
    </row>
    <row r="101">
      <c r="A101" s="10" t="inlineStr">
        <is>
          <t>C06-15</t>
        </is>
      </c>
      <c r="B101" s="10" t="inlineStr">
        <is>
          <t>C06 登山露營與戶外</t>
        </is>
      </c>
      <c r="C101" s="11" t="inlineStr">
        <is>
          <t>林道車輛與人員的分離管理</t>
        </is>
      </c>
      <c r="D101" s="10" t="inlineStr">
        <is>
          <t>跨界類比</t>
        </is>
      </c>
      <c r="E101" s="12" t="inlineStr">
        <is>
          <t>車載接收器</t>
        </is>
      </c>
      <c r="F101" s="11" t="inlineStr">
        <is>
          <t>移動接收器的另一種場景</t>
        </is>
      </c>
      <c r="G101" s="10" t="inlineStr">
        <is>
          <t>技術部落格</t>
        </is>
      </c>
      <c r="H101" s="10" t="inlineStr">
        <is>
          <t>L2</t>
        </is>
      </c>
    </row>
    <row r="102">
      <c r="A102" s="7" t="inlineStr">
        <is>
          <t>C06-16</t>
        </is>
      </c>
      <c r="B102" s="7" t="inlineStr">
        <is>
          <t>C06 登山露營與戶外</t>
        </is>
      </c>
      <c r="C102" s="8" t="inlineStr">
        <is>
          <t>帶失智長輩去戶外，是不是太冒險</t>
        </is>
      </c>
      <c r="D102" s="7" t="inlineStr">
        <is>
          <t>社會現狀</t>
        </is>
      </c>
      <c r="E102" s="12" t="inlineStr">
        <is>
          <t>電子圍籬｜群眾網路</t>
        </is>
      </c>
      <c r="F102" s="8" t="inlineStr">
        <is>
          <t>從限制到擴權的敘事翻轉</t>
        </is>
      </c>
      <c r="G102" s="7" t="inlineStr">
        <is>
          <t>Threads／FB</t>
        </is>
      </c>
      <c r="H102" s="7" t="inlineStr">
        <is>
          <t>L1</t>
        </is>
      </c>
    </row>
    <row r="103">
      <c r="A103" s="10" t="inlineStr">
        <is>
          <t>C06-17</t>
        </is>
      </c>
      <c r="B103" s="10" t="inlineStr">
        <is>
          <t>C06 登山露營與戶外</t>
        </is>
      </c>
      <c r="C103" s="11" t="inlineStr">
        <is>
          <t>一年有多少人在步道上走失</t>
        </is>
      </c>
      <c r="D103" s="10" t="inlineStr">
        <is>
          <t>市場調查</t>
        </is>
      </c>
      <c r="E103" s="12" t="inlineStr">
        <is>
          <t>警消統計</t>
        </is>
      </c>
      <c r="F103" s="11" t="inlineStr">
        <is>
          <t>數據建立議題重量</t>
        </is>
      </c>
      <c r="G103" s="10" t="inlineStr">
        <is>
          <t>Threads</t>
        </is>
      </c>
      <c r="H103" s="10" t="inlineStr">
        <is>
          <t>L0</t>
        </is>
      </c>
    </row>
    <row r="104">
      <c r="A104" s="7" t="inlineStr">
        <is>
          <t>C07-01</t>
        </is>
      </c>
      <c r="B104" s="7" t="inlineStr">
        <is>
          <t>C07 旅遊住宿與行李</t>
        </is>
      </c>
      <c r="C104" s="8" t="inlineStr">
        <is>
          <t>行李被丟包，你能追到哪一步</t>
        </is>
      </c>
      <c r="D104" s="7" t="inlineStr">
        <is>
          <t>個人發現</t>
        </is>
      </c>
      <c r="E104" s="12" t="inlineStr">
        <is>
          <t>Apple Find My 行李｜航空公司追蹤</t>
        </is>
      </c>
      <c r="F104" s="8" t="inlineStr">
        <is>
          <t>跨國定位鏈的斷點</t>
        </is>
      </c>
      <c r="G104" s="7" t="inlineStr">
        <is>
          <t>Mobile01／Threads</t>
        </is>
      </c>
      <c r="H104" s="7" t="inlineStr">
        <is>
          <t>L2</t>
        </is>
      </c>
    </row>
    <row r="105">
      <c r="A105" s="10" t="inlineStr">
        <is>
          <t>C07-02</t>
        </is>
      </c>
      <c r="B105" s="10" t="inlineStr">
        <is>
          <t>C07 旅遊住宿與行李</t>
        </is>
      </c>
      <c r="C105" s="11" t="inlineStr">
        <is>
          <t>航空公司開始支援分享行李位置了</t>
        </is>
      </c>
      <c r="D105" s="10" t="inlineStr">
        <is>
          <t>市場調查</t>
        </is>
      </c>
      <c r="E105" s="12" t="inlineStr">
        <is>
          <t>Apple Find My Share Item Location</t>
        </is>
      </c>
      <c r="F105" s="11" t="inlineStr">
        <is>
          <t>國際趨勢：定位資料的授權分享</t>
        </is>
      </c>
      <c r="G105" s="10" t="inlineStr">
        <is>
          <t>Mobile01</t>
        </is>
      </c>
      <c r="H105" s="10" t="inlineStr">
        <is>
          <t>L2</t>
        </is>
      </c>
    </row>
    <row r="106">
      <c r="A106" s="7" t="inlineStr">
        <is>
          <t>C07-03</t>
        </is>
      </c>
      <c r="B106" s="7" t="inlineStr">
        <is>
          <t>C07 旅遊住宿與行李</t>
        </is>
      </c>
      <c r="C106" s="8" t="inlineStr">
        <is>
          <t>飯店房卡的下一代會是什麼</t>
        </is>
      </c>
      <c r="D106" s="7" t="inlineStr">
        <is>
          <t>現象觀察</t>
        </is>
      </c>
      <c r="E106" s="12" t="inlineStr">
        <is>
          <t>UWB 數位鑰匙｜CCC</t>
        </is>
      </c>
      <c r="F106" s="8" t="inlineStr">
        <is>
          <t>距離感知在門禁的應用</t>
        </is>
      </c>
      <c r="G106" s="7" t="inlineStr">
        <is>
          <t>技術部落格</t>
        </is>
      </c>
      <c r="H106" s="7" t="inlineStr">
        <is>
          <t>L2</t>
        </is>
      </c>
    </row>
    <row r="107">
      <c r="A107" s="10" t="inlineStr">
        <is>
          <t>C07-04</t>
        </is>
      </c>
      <c r="B107" s="10" t="inlineStr">
        <is>
          <t>C07 旅遊住宿與行李</t>
        </is>
      </c>
      <c r="C107" s="11" t="inlineStr">
        <is>
          <t>跟團旅遊，導遊怎麼確認人到齊</t>
        </is>
      </c>
      <c r="D107" s="10" t="inlineStr">
        <is>
          <t>現象觀察</t>
        </is>
      </c>
      <c r="E107" s="12" t="inlineStr">
        <is>
          <t>BLE 群體點名</t>
        </is>
      </c>
      <c r="F107" s="11" t="inlineStr">
        <is>
          <t>團體移動的清點需求</t>
        </is>
      </c>
      <c r="G107" s="10" t="inlineStr">
        <is>
          <t>產業媒體</t>
        </is>
      </c>
      <c r="H107" s="10" t="inlineStr">
        <is>
          <t>L1</t>
        </is>
      </c>
    </row>
    <row r="108">
      <c r="A108" s="7" t="inlineStr">
        <is>
          <t>C07-05</t>
        </is>
      </c>
      <c r="B108" s="7" t="inlineStr">
        <is>
          <t>C07 旅遊住宿與行李</t>
        </is>
      </c>
      <c r="C108" s="8" t="inlineStr">
        <is>
          <t>銀髮旅遊團，最常發生的狀況是什麼</t>
        </is>
      </c>
      <c r="D108" s="7" t="inlineStr">
        <is>
          <t>市場調查</t>
        </is>
      </c>
      <c r="E108" s="8" t="inlineStr">
        <is>
          <t>—</t>
        </is>
      </c>
      <c r="F108" s="8" t="inlineStr">
        <is>
          <t>銀髮旅遊的安全缺口</t>
        </is>
      </c>
      <c r="G108" s="7" t="inlineStr">
        <is>
          <t>產業媒體</t>
        </is>
      </c>
      <c r="H108" s="7" t="inlineStr">
        <is>
          <t>L1</t>
        </is>
      </c>
    </row>
    <row r="109">
      <c r="A109" s="10" t="inlineStr">
        <is>
          <t>C07-06</t>
        </is>
      </c>
      <c r="B109" s="10" t="inlineStr">
        <is>
          <t>C07 旅遊住宿與行李</t>
        </is>
      </c>
      <c r="C109" s="11" t="inlineStr">
        <is>
          <t>郵輪上走失，跟陸地上完全不同</t>
        </is>
      </c>
      <c r="D109" s="10" t="inlineStr">
        <is>
          <t>跨界類比</t>
        </is>
      </c>
      <c r="E109" s="12" t="inlineStr">
        <is>
          <t>船上定位系統</t>
        </is>
      </c>
      <c r="F109" s="11" t="inlineStr">
        <is>
          <t>封閉場域的定位邏輯</t>
        </is>
      </c>
      <c r="G109" s="10" t="inlineStr">
        <is>
          <t>Threads</t>
        </is>
      </c>
      <c r="H109" s="10" t="inlineStr">
        <is>
          <t>L1</t>
        </is>
      </c>
    </row>
    <row r="110">
      <c r="A110" s="7" t="inlineStr">
        <is>
          <t>C07-07</t>
        </is>
      </c>
      <c r="B110" s="7" t="inlineStr">
        <is>
          <t>C07 旅遊住宿與行李</t>
        </is>
      </c>
      <c r="C110" s="8" t="inlineStr">
        <is>
          <t>民宿老闆最怕客人發生什麼事</t>
        </is>
      </c>
      <c r="D110" s="7" t="inlineStr">
        <is>
          <t>問卷調查</t>
        </is>
      </c>
      <c r="E110" s="8" t="inlineStr">
        <is>
          <t>—</t>
        </is>
      </c>
      <c r="F110" s="8" t="inlineStr">
        <is>
          <t>小型住宿業的風險</t>
        </is>
      </c>
      <c r="G110" s="7" t="inlineStr">
        <is>
          <t>FB 社團</t>
        </is>
      </c>
      <c r="H110" s="7" t="inlineStr">
        <is>
          <t>L0</t>
        </is>
      </c>
    </row>
    <row r="111">
      <c r="A111" s="10" t="inlineStr">
        <is>
          <t>C07-08</t>
        </is>
      </c>
      <c r="B111" s="10" t="inlineStr">
        <is>
          <t>C07 旅遊住宿與行李</t>
        </is>
      </c>
      <c r="C111" s="11" t="inlineStr">
        <is>
          <t>溫泉區與大眾湯，長輩最容易出事的地方</t>
        </is>
      </c>
      <c r="D111" s="10" t="inlineStr">
        <is>
          <t>現象觀察</t>
        </is>
      </c>
      <c r="E111" s="12" t="inlineStr">
        <is>
          <t>防水等級｜久未移動</t>
        </is>
      </c>
      <c r="F111" s="11" t="inlineStr">
        <is>
          <t>高風險場域的守護設計</t>
        </is>
      </c>
      <c r="G111" s="10" t="inlineStr">
        <is>
          <t>Threads</t>
        </is>
      </c>
      <c r="H111" s="10" t="inlineStr">
        <is>
          <t>L1</t>
        </is>
      </c>
    </row>
    <row r="112">
      <c r="A112" s="7" t="inlineStr">
        <is>
          <t>C07-09</t>
        </is>
      </c>
      <c r="B112" s="7" t="inlineStr">
        <is>
          <t>C07 旅遊住宿與行李</t>
        </is>
      </c>
      <c r="C112" s="8" t="inlineStr">
        <is>
          <t>自由行 vs 跟團，走失風險差多少</t>
        </is>
      </c>
      <c r="D112" s="7" t="inlineStr">
        <is>
          <t>問卷調查</t>
        </is>
      </c>
      <c r="E112" s="8" t="inlineStr">
        <is>
          <t>—</t>
        </is>
      </c>
      <c r="F112" s="8" t="inlineStr">
        <is>
          <t>行為模式與風險</t>
        </is>
      </c>
      <c r="G112" s="7" t="inlineStr">
        <is>
          <t>Threads</t>
        </is>
      </c>
      <c r="H112" s="7" t="inlineStr">
        <is>
          <t>L0</t>
        </is>
      </c>
    </row>
    <row r="113">
      <c r="A113" s="10" t="inlineStr">
        <is>
          <t>C07-10</t>
        </is>
      </c>
      <c r="B113" s="10" t="inlineStr">
        <is>
          <t>C07 旅遊住宿與行李</t>
        </is>
      </c>
      <c r="C113" s="11" t="inlineStr">
        <is>
          <t>帶長輩出國，我準備了哪些東西</t>
        </is>
      </c>
      <c r="D113" s="10" t="inlineStr">
        <is>
          <t>個人發現</t>
        </is>
      </c>
      <c r="E113" s="12" t="inlineStr">
        <is>
          <t>Find My｜群眾網路</t>
        </is>
      </c>
      <c r="F113" s="11" t="inlineStr">
        <is>
          <t>跨國情境的裝備清單</t>
        </is>
      </c>
      <c r="G113" s="10" t="inlineStr">
        <is>
          <t>FB／部落格</t>
        </is>
      </c>
      <c r="H113" s="10" t="inlineStr">
        <is>
          <t>L1</t>
        </is>
      </c>
    </row>
    <row r="114">
      <c r="A114" s="7" t="inlineStr">
        <is>
          <t>C07-11</t>
        </is>
      </c>
      <c r="B114" s="7" t="inlineStr">
        <is>
          <t>C07 旅遊住宿與行李</t>
        </is>
      </c>
      <c r="C114" s="8" t="inlineStr">
        <is>
          <t>國外的失智友善旅遊做到什麼程度</t>
        </is>
      </c>
      <c r="D114" s="7" t="inlineStr">
        <is>
          <t>市場調查</t>
        </is>
      </c>
      <c r="E114" s="12" t="inlineStr">
        <is>
          <t>荷蘭與日本做法</t>
        </is>
      </c>
      <c r="F114" s="8" t="inlineStr">
        <is>
          <t>國際對照建立視野</t>
        </is>
      </c>
      <c r="G114" s="7" t="inlineStr">
        <is>
          <t>部落格</t>
        </is>
      </c>
      <c r="H114" s="7" t="inlineStr">
        <is>
          <t>L0</t>
        </is>
      </c>
    </row>
    <row r="115">
      <c r="A115" s="10" t="inlineStr">
        <is>
          <t>C07-12</t>
        </is>
      </c>
      <c r="B115" s="10" t="inlineStr">
        <is>
          <t>C07 旅遊住宿與行李</t>
        </is>
      </c>
      <c r="C115" s="11" t="inlineStr">
        <is>
          <t>飯店布巾與備品的流失成本</t>
        </is>
      </c>
      <c r="D115" s="10" t="inlineStr">
        <is>
          <t>現象觀察</t>
        </is>
      </c>
      <c r="E115" s="12" t="inlineStr">
        <is>
          <t>RFID 布巾管理</t>
        </is>
      </c>
      <c r="F115" s="11" t="inlineStr">
        <is>
          <t>資產管理的冷門但真實需求</t>
        </is>
      </c>
      <c r="G115" s="10" t="inlineStr">
        <is>
          <t>產業媒體</t>
        </is>
      </c>
      <c r="H115" s="10" t="inlineStr">
        <is>
          <t>L1</t>
        </is>
      </c>
    </row>
    <row r="116">
      <c r="A116" s="7" t="inlineStr">
        <is>
          <t>C07-13</t>
        </is>
      </c>
      <c r="B116" s="7" t="inlineStr">
        <is>
          <t>C07 旅遊住宿與行李</t>
        </is>
      </c>
      <c r="C116" s="8" t="inlineStr">
        <is>
          <t>機場地勤的行李轉運，斷在哪一段</t>
        </is>
      </c>
      <c r="D116" s="7" t="inlineStr">
        <is>
          <t>現象觀察</t>
        </is>
      </c>
      <c r="E116" s="12" t="inlineStr">
        <is>
          <t>BLE｜RFID 行李標籤</t>
        </is>
      </c>
      <c r="F116" s="8" t="inlineStr">
        <is>
          <t>移動段的資料斷點</t>
        </is>
      </c>
      <c r="G116" s="7" t="inlineStr">
        <is>
          <t>產業媒體</t>
        </is>
      </c>
      <c r="H116" s="7" t="inlineStr">
        <is>
          <t>L2</t>
        </is>
      </c>
    </row>
    <row r="117">
      <c r="A117" s="10" t="inlineStr">
        <is>
          <t>C07-14</t>
        </is>
      </c>
      <c r="B117" s="10" t="inlineStr">
        <is>
          <t>C07 旅遊住宿與行李</t>
        </is>
      </c>
      <c r="C117" s="11" t="inlineStr">
        <is>
          <t>租車還車時的糾紛，怎麼舉證</t>
        </is>
      </c>
      <c r="D117" s="10" t="inlineStr">
        <is>
          <t>現象觀察</t>
        </is>
      </c>
      <c r="E117" s="12" t="inlineStr">
        <is>
          <t>GNSS 軌跡紀錄</t>
        </is>
      </c>
      <c r="F117" s="11" t="inlineStr">
        <is>
          <t>歷程留痕的價值</t>
        </is>
      </c>
      <c r="G117" s="10" t="inlineStr">
        <is>
          <t>Threads</t>
        </is>
      </c>
      <c r="H117" s="10" t="inlineStr">
        <is>
          <t>L1</t>
        </is>
      </c>
    </row>
    <row r="118">
      <c r="A118" s="7" t="inlineStr">
        <is>
          <t>C07-15</t>
        </is>
      </c>
      <c r="B118" s="7" t="inlineStr">
        <is>
          <t>C07 旅遊住宿與行李</t>
        </is>
      </c>
      <c r="C118" s="8" t="inlineStr">
        <is>
          <t>旅行箱裡放定位器，海關會有意見嗎</t>
        </is>
      </c>
      <c r="D118" s="7" t="inlineStr">
        <is>
          <t>冷知識</t>
        </is>
      </c>
      <c r="E118" s="12" t="inlineStr">
        <is>
          <t>鋰電池與航空安全</t>
        </is>
      </c>
      <c r="F118" s="8" t="inlineStr">
        <is>
          <t>實務限制的誠實說明</t>
        </is>
      </c>
      <c r="G118" s="7" t="inlineStr">
        <is>
          <t>Mobile01</t>
        </is>
      </c>
      <c r="H118" s="7" t="inlineStr">
        <is>
          <t>L1</t>
        </is>
      </c>
    </row>
    <row r="119">
      <c r="A119" s="10" t="inlineStr">
        <is>
          <t>C07-16</t>
        </is>
      </c>
      <c r="B119" s="10" t="inlineStr">
        <is>
          <t>C07 旅遊住宿與行李</t>
        </is>
      </c>
      <c r="C119" s="11" t="inlineStr">
        <is>
          <t>包車司機與旅客的協調，最常卡在哪</t>
        </is>
      </c>
      <c r="D119" s="10" t="inlineStr">
        <is>
          <t>現象觀察</t>
        </is>
      </c>
      <c r="E119" s="12" t="inlineStr">
        <is>
          <t>即時位置共享</t>
        </is>
      </c>
      <c r="F119" s="11" t="inlineStr">
        <is>
          <t>移動服務的資訊落差</t>
        </is>
      </c>
      <c r="G119" s="10" t="inlineStr">
        <is>
          <t>Threads</t>
        </is>
      </c>
      <c r="H119" s="10" t="inlineStr">
        <is>
          <t>L0</t>
        </is>
      </c>
    </row>
    <row r="120">
      <c r="A120" s="7" t="inlineStr">
        <is>
          <t>C07-17</t>
        </is>
      </c>
      <c r="B120" s="7" t="inlineStr">
        <is>
          <t>C07 旅遊住宿與行李</t>
        </is>
      </c>
      <c r="C120" s="8" t="inlineStr">
        <is>
          <t>旅遊平安險理賠，需要什麼證據</t>
        </is>
      </c>
      <c r="D120" s="7" t="inlineStr">
        <is>
          <t>跨界類比</t>
        </is>
      </c>
      <c r="E120" s="12" t="inlineStr">
        <is>
          <t>位置與時間紀錄</t>
        </is>
      </c>
      <c r="F120" s="8" t="inlineStr">
        <is>
          <t>紀錄可追溯的商業價值</t>
        </is>
      </c>
      <c r="G120" s="7" t="inlineStr">
        <is>
          <t>部落格</t>
        </is>
      </c>
      <c r="H120" s="7" t="inlineStr">
        <is>
          <t>L1</t>
        </is>
      </c>
    </row>
    <row r="121">
      <c r="A121" s="10" t="inlineStr">
        <is>
          <t>C08-01</t>
        </is>
      </c>
      <c r="B121" s="10" t="inlineStr">
        <is>
          <t>C08 餐飲外送與廚房</t>
        </is>
      </c>
      <c r="C121" s="11" t="inlineStr">
        <is>
          <t>外送員的路線，平台看得多細</t>
        </is>
      </c>
      <c r="D121" s="10" t="inlineStr">
        <is>
          <t>現象觀察</t>
        </is>
      </c>
      <c r="E121" s="12" t="inlineStr">
        <is>
          <t>GNSS 即時追蹤</t>
        </is>
      </c>
      <c r="F121" s="11" t="inlineStr">
        <is>
          <t>即時追蹤的成本與功耗代價</t>
        </is>
      </c>
      <c r="G121" s="10" t="inlineStr">
        <is>
          <t>Threads</t>
        </is>
      </c>
      <c r="H121" s="10" t="inlineStr">
        <is>
          <t>L1</t>
        </is>
      </c>
    </row>
    <row r="122">
      <c r="A122" s="7" t="inlineStr">
        <is>
          <t>C08-02</t>
        </is>
      </c>
      <c r="B122" s="7" t="inlineStr">
        <is>
          <t>C08 餐飲外送與廚房</t>
        </is>
      </c>
      <c r="C122" s="8" t="inlineStr">
        <is>
          <t>保溫袋裡的溫度，真的有人在看嗎</t>
        </is>
      </c>
      <c r="D122" s="7" t="inlineStr">
        <is>
          <t>現象觀察</t>
        </is>
      </c>
      <c r="E122" s="12" t="inlineStr">
        <is>
          <t>BLE 溫度標籤</t>
        </is>
      </c>
      <c r="F122" s="8" t="inlineStr">
        <is>
          <t>溫度與位置同一條時間軸</t>
        </is>
      </c>
      <c r="G122" s="7" t="inlineStr">
        <is>
          <t>Threads</t>
        </is>
      </c>
      <c r="H122" s="7" t="inlineStr">
        <is>
          <t>L1</t>
        </is>
      </c>
    </row>
    <row r="123">
      <c r="A123" s="10" t="inlineStr">
        <is>
          <t>C08-03</t>
        </is>
      </c>
      <c r="B123" s="10" t="inlineStr">
        <is>
          <t>C08 餐飲外送與廚房</t>
        </is>
      </c>
      <c r="C123" s="11" t="inlineStr">
        <is>
          <t>中央廚房到門市的冷鏈，斷在哪</t>
        </is>
      </c>
      <c r="D123" s="10" t="inlineStr">
        <is>
          <t>市場調查</t>
        </is>
      </c>
      <c r="E123" s="12" t="inlineStr">
        <is>
          <t>BLE＋LoRaWAN 冷鏈方案</t>
        </is>
      </c>
      <c r="F123" s="11" t="inlineStr">
        <is>
          <t>國際冷鏈架構對照</t>
        </is>
      </c>
      <c r="G123" s="10" t="inlineStr">
        <is>
          <t>產業媒體</t>
        </is>
      </c>
      <c r="H123" s="10" t="inlineStr">
        <is>
          <t>L2</t>
        </is>
      </c>
    </row>
    <row r="124">
      <c r="A124" s="7" t="inlineStr">
        <is>
          <t>C08-04</t>
        </is>
      </c>
      <c r="B124" s="7" t="inlineStr">
        <is>
          <t>C08 餐飲外送與廚房</t>
        </is>
      </c>
      <c r="C124" s="8" t="inlineStr">
        <is>
          <t>餐廳的餐具與餐盤一年少多少</t>
        </is>
      </c>
      <c r="D124" s="7" t="inlineStr">
        <is>
          <t>市場調查</t>
        </is>
      </c>
      <c r="E124" s="12" t="inlineStr">
        <is>
          <t>RFID｜BLE 標籤</t>
        </is>
      </c>
      <c r="F124" s="8" t="inlineStr">
        <is>
          <t>周轉具流失的跨產業共通性</t>
        </is>
      </c>
      <c r="G124" s="7" t="inlineStr">
        <is>
          <t>產業媒體</t>
        </is>
      </c>
      <c r="H124" s="7" t="inlineStr">
        <is>
          <t>L1</t>
        </is>
      </c>
    </row>
    <row r="125">
      <c r="A125" s="10" t="inlineStr">
        <is>
          <t>C08-05</t>
        </is>
      </c>
      <c r="B125" s="10" t="inlineStr">
        <is>
          <t>C08 餐飲外送與廚房</t>
        </is>
      </c>
      <c r="C125" s="11" t="inlineStr">
        <is>
          <t>冰箱溫度紀錄表，還在手抄嗎</t>
        </is>
      </c>
      <c r="D125" s="10" t="inlineStr">
        <is>
          <t>現象觀察</t>
        </is>
      </c>
      <c r="E125" s="12" t="inlineStr">
        <is>
          <t>data logger</t>
        </is>
      </c>
      <c r="F125" s="11" t="inlineStr">
        <is>
          <t>自動紀錄取代人工抄表</t>
        </is>
      </c>
      <c r="G125" s="10" t="inlineStr">
        <is>
          <t>產業媒體</t>
        </is>
      </c>
      <c r="H125" s="10" t="inlineStr">
        <is>
          <t>L1</t>
        </is>
      </c>
    </row>
    <row r="126">
      <c r="A126" s="7" t="inlineStr">
        <is>
          <t>C08-06</t>
        </is>
      </c>
      <c r="B126" s="7" t="inlineStr">
        <is>
          <t>C08 餐飲外送與廚房</t>
        </is>
      </c>
      <c r="C126" s="8" t="inlineStr">
        <is>
          <t>食安稽核最常被開的缺失</t>
        </is>
      </c>
      <c r="D126" s="7" t="inlineStr">
        <is>
          <t>市場調查</t>
        </is>
      </c>
      <c r="E126" s="12" t="inlineStr">
        <is>
          <t>溫度紀錄規範</t>
        </is>
      </c>
      <c r="F126" s="8" t="inlineStr">
        <is>
          <t>合規壓力是最好的導入理由</t>
        </is>
      </c>
      <c r="G126" s="7" t="inlineStr">
        <is>
          <t>產業媒體</t>
        </is>
      </c>
      <c r="H126" s="7" t="inlineStr">
        <is>
          <t>L1</t>
        </is>
      </c>
    </row>
    <row r="127">
      <c r="A127" s="10" t="inlineStr">
        <is>
          <t>C08-07</t>
        </is>
      </c>
      <c r="B127" s="10" t="inlineStr">
        <is>
          <t>C08 餐飲外送與廚房</t>
        </is>
      </c>
      <c r="C127" s="11" t="inlineStr">
        <is>
          <t>開放式廚房，員工動線其實可以優化</t>
        </is>
      </c>
      <c r="D127" s="10" t="inlineStr">
        <is>
          <t>現象觀察</t>
        </is>
      </c>
      <c r="E127" s="12" t="inlineStr">
        <is>
          <t>BLE 區域熱區</t>
        </is>
      </c>
      <c r="F127" s="11" t="inlineStr">
        <is>
          <t>動線分析的效率價值</t>
        </is>
      </c>
      <c r="G127" s="10" t="inlineStr">
        <is>
          <t>產業媒體</t>
        </is>
      </c>
      <c r="H127" s="10" t="inlineStr">
        <is>
          <t>L2</t>
        </is>
      </c>
    </row>
    <row r="128">
      <c r="A128" s="7" t="inlineStr">
        <is>
          <t>C08-08</t>
        </is>
      </c>
      <c r="B128" s="7" t="inlineStr">
        <is>
          <t>C08 餐飲外送與廚房</t>
        </is>
      </c>
      <c r="C128" s="8" t="inlineStr">
        <is>
          <t>夜市攤商的生財器具會不見嗎</t>
        </is>
      </c>
      <c r="D128" s="7" t="inlineStr">
        <is>
          <t>現象觀察</t>
        </is>
      </c>
      <c r="E128" s="12" t="inlineStr">
        <is>
          <t>BLE 標籤</t>
        </is>
      </c>
      <c r="F128" s="8" t="inlineStr">
        <is>
          <t>微型商家的資產保護</t>
        </is>
      </c>
      <c r="G128" s="7" t="inlineStr">
        <is>
          <t>Threads</t>
        </is>
      </c>
      <c r="H128" s="7" t="inlineStr">
        <is>
          <t>L0</t>
        </is>
      </c>
    </row>
    <row r="129">
      <c r="A129" s="10" t="inlineStr">
        <is>
          <t>C08-09</t>
        </is>
      </c>
      <c r="B129" s="10" t="inlineStr">
        <is>
          <t>C08 餐飲外送與廚房</t>
        </is>
      </c>
      <c r="C129" s="11" t="inlineStr">
        <is>
          <t>外送員被留在大樓裡的那十分鐘</t>
        </is>
      </c>
      <c r="D129" s="10" t="inlineStr">
        <is>
          <t>個人發現</t>
        </is>
      </c>
      <c r="E129" s="12" t="inlineStr">
        <is>
          <t>室內定位</t>
        </is>
      </c>
      <c r="F129" s="11" t="inlineStr">
        <is>
          <t>大樓內部的定位盲區</t>
        </is>
      </c>
      <c r="G129" s="10" t="inlineStr">
        <is>
          <t>Threads</t>
        </is>
      </c>
      <c r="H129" s="10" t="inlineStr">
        <is>
          <t>L1</t>
        </is>
      </c>
    </row>
    <row r="130">
      <c r="A130" s="7" t="inlineStr">
        <is>
          <t>C08-10</t>
        </is>
      </c>
      <c r="B130" s="7" t="inlineStr">
        <is>
          <t>C08 餐飲外送與廚房</t>
        </is>
      </c>
      <c r="C130" s="8" t="inlineStr">
        <is>
          <t>你點的餐，其實經過幾個溫層</t>
        </is>
      </c>
      <c r="D130" s="7" t="inlineStr">
        <is>
          <t>冷知識</t>
        </is>
      </c>
      <c r="E130" s="12" t="inlineStr">
        <is>
          <t>多溫層共配</t>
        </is>
      </c>
      <c r="F130" s="8" t="inlineStr">
        <is>
          <t>冷鏈知識科普</t>
        </is>
      </c>
      <c r="G130" s="7" t="inlineStr">
        <is>
          <t>Threads</t>
        </is>
      </c>
      <c r="H130" s="7" t="inlineStr">
        <is>
          <t>L1</t>
        </is>
      </c>
    </row>
    <row r="131">
      <c r="A131" s="10" t="inlineStr">
        <is>
          <t>C08-11</t>
        </is>
      </c>
      <c r="B131" s="10" t="inlineStr">
        <is>
          <t>C08 餐飲外送與廚房</t>
        </is>
      </c>
      <c r="C131" s="11" t="inlineStr">
        <is>
          <t>團膳送到學校，溫度誰負責</t>
        </is>
      </c>
      <c r="D131" s="10" t="inlineStr">
        <is>
          <t>社會現狀</t>
        </is>
      </c>
      <c r="E131" s="12" t="inlineStr">
        <is>
          <t>冷鏈溫度舉證</t>
        </is>
      </c>
      <c r="F131" s="11" t="inlineStr">
        <is>
          <t>責任歸屬與紀錄</t>
        </is>
      </c>
      <c r="G131" s="10" t="inlineStr">
        <is>
          <t>產業媒體</t>
        </is>
      </c>
      <c r="H131" s="10" t="inlineStr">
        <is>
          <t>L1</t>
        </is>
      </c>
    </row>
    <row r="132">
      <c r="A132" s="7" t="inlineStr">
        <is>
          <t>C08-12</t>
        </is>
      </c>
      <c r="B132" s="7" t="inlineStr">
        <is>
          <t>C08 餐飲外送與廚房</t>
        </is>
      </c>
      <c r="C132" s="8" t="inlineStr">
        <is>
          <t>廚餘回收車的路線，能不能更聰明</t>
        </is>
      </c>
      <c r="D132" s="7" t="inlineStr">
        <is>
          <t>跨界類比</t>
        </is>
      </c>
      <c r="E132" s="12" t="inlineStr">
        <is>
          <t>GNSS 車輛調度</t>
        </is>
      </c>
      <c r="F132" s="8" t="inlineStr">
        <is>
          <t>派遣最佳化的跨產業應用</t>
        </is>
      </c>
      <c r="G132" s="7" t="inlineStr">
        <is>
          <t>Threads</t>
        </is>
      </c>
      <c r="H132" s="7" t="inlineStr">
        <is>
          <t>L0</t>
        </is>
      </c>
    </row>
    <row r="133">
      <c r="A133" s="10" t="inlineStr">
        <is>
          <t>C08-13</t>
        </is>
      </c>
      <c r="B133" s="10" t="inlineStr">
        <is>
          <t>C08 餐飲外送與廚房</t>
        </is>
      </c>
      <c r="C133" s="11" t="inlineStr">
        <is>
          <t>連鎖店的庫存盤點，多久做一次</t>
        </is>
      </c>
      <c r="D133" s="10" t="inlineStr">
        <is>
          <t>市場調查</t>
        </is>
      </c>
      <c r="E133" s="12" t="inlineStr">
        <is>
          <t>RFID 盤點</t>
        </is>
      </c>
      <c r="F133" s="11" t="inlineStr">
        <is>
          <t>盤點工時的壓縮空間</t>
        </is>
      </c>
      <c r="G133" s="10" t="inlineStr">
        <is>
          <t>產業媒體</t>
        </is>
      </c>
      <c r="H133" s="10" t="inlineStr">
        <is>
          <t>L1</t>
        </is>
      </c>
    </row>
    <row r="134">
      <c r="A134" s="7" t="inlineStr">
        <is>
          <t>C08-14</t>
        </is>
      </c>
      <c r="B134" s="7" t="inlineStr">
        <is>
          <t>C08 餐飲外送與廚房</t>
        </is>
      </c>
      <c r="C134" s="8" t="inlineStr">
        <is>
          <t>高齡員工在廚房的安全</t>
        </is>
      </c>
      <c r="D134" s="7" t="inlineStr">
        <is>
          <t>社會現狀</t>
        </is>
      </c>
      <c r="E134" s="12" t="inlineStr">
        <is>
          <t>久未移動告警</t>
        </is>
      </c>
      <c r="F134" s="8" t="inlineStr">
        <is>
          <t>銀髮就業的場域安全</t>
        </is>
      </c>
      <c r="G134" s="7" t="inlineStr">
        <is>
          <t>產業媒體</t>
        </is>
      </c>
      <c r="H134" s="7" t="inlineStr">
        <is>
          <t>L1</t>
        </is>
      </c>
    </row>
    <row r="135">
      <c r="A135" s="10" t="inlineStr">
        <is>
          <t>C08-15</t>
        </is>
      </c>
      <c r="B135" s="10" t="inlineStr">
        <is>
          <t>C08 餐飲外送與廚房</t>
        </is>
      </c>
      <c r="C135" s="11" t="inlineStr">
        <is>
          <t>外送保溫箱如果自己會回報溫度</t>
        </is>
      </c>
      <c r="D135" s="10" t="inlineStr">
        <is>
          <t>跨界類比</t>
        </is>
      </c>
      <c r="E135" s="12" t="inlineStr">
        <is>
          <t>BLE 溫度標籤</t>
        </is>
      </c>
      <c r="F135" s="11" t="inlineStr">
        <is>
          <t>同一顆標籤的跨場域延伸</t>
        </is>
      </c>
      <c r="G135" s="10" t="inlineStr">
        <is>
          <t>Threads</t>
        </is>
      </c>
      <c r="H135" s="10" t="inlineStr">
        <is>
          <t>L2</t>
        </is>
      </c>
    </row>
    <row r="136">
      <c r="A136" s="7" t="inlineStr">
        <is>
          <t>C08-16</t>
        </is>
      </c>
      <c r="B136" s="7" t="inlineStr">
        <is>
          <t>C08 餐飲外送與廚房</t>
        </is>
      </c>
      <c r="C136" s="8" t="inlineStr">
        <is>
          <t>餐飲業離職率高，交接靠什麼</t>
        </is>
      </c>
      <c r="D136" s="7" t="inlineStr">
        <is>
          <t>現象觀察</t>
        </is>
      </c>
      <c r="E136" s="12" t="inlineStr">
        <is>
          <t>紀錄可追溯</t>
        </is>
      </c>
      <c r="F136" s="8" t="inlineStr">
        <is>
          <t>交班空白的跨產業共通性</t>
        </is>
      </c>
      <c r="G136" s="7" t="inlineStr">
        <is>
          <t>產業媒體</t>
        </is>
      </c>
      <c r="H136" s="7" t="inlineStr">
        <is>
          <t>L1</t>
        </is>
      </c>
    </row>
    <row r="137">
      <c r="A137" s="10" t="inlineStr">
        <is>
          <t>C08-17</t>
        </is>
      </c>
      <c r="B137" s="10" t="inlineStr">
        <is>
          <t>C08 餐飲外送與廚房</t>
        </is>
      </c>
      <c r="C137" s="11" t="inlineStr">
        <is>
          <t>一杯手搖飲從製作到送達，幾分鐘</t>
        </is>
      </c>
      <c r="D137" s="10" t="inlineStr">
        <is>
          <t>市場調查</t>
        </is>
      </c>
      <c r="E137" s="12" t="inlineStr">
        <is>
          <t>時間戳記</t>
        </is>
      </c>
      <c r="F137" s="11" t="inlineStr">
        <is>
          <t>時間軸資料的可視化</t>
        </is>
      </c>
      <c r="G137" s="10" t="inlineStr">
        <is>
          <t>Threads</t>
        </is>
      </c>
      <c r="H137" s="10" t="inlineStr">
        <is>
          <t>L0</t>
        </is>
      </c>
    </row>
    <row r="138">
      <c r="A138" s="7" t="inlineStr">
        <is>
          <t>C09-01</t>
        </is>
      </c>
      <c r="B138" s="7" t="inlineStr">
        <is>
          <t>C09 零售賣場與百貨</t>
        </is>
      </c>
      <c r="C138" s="8" t="inlineStr">
        <is>
          <t>賣場的推車一年跑掉幾台</t>
        </is>
      </c>
      <c r="D138" s="7" t="inlineStr">
        <is>
          <t>市場調查</t>
        </is>
      </c>
      <c r="E138" s="12" t="inlineStr">
        <is>
          <t>BLE 標籤｜電子圍籬</t>
        </is>
      </c>
      <c r="F138" s="8" t="inlineStr">
        <is>
          <t>周轉具流失的零售版本</t>
        </is>
      </c>
      <c r="G138" s="7" t="inlineStr">
        <is>
          <t>產業媒體</t>
        </is>
      </c>
      <c r="H138" s="7" t="inlineStr">
        <is>
          <t>L1</t>
        </is>
      </c>
    </row>
    <row r="139">
      <c r="A139" s="10" t="inlineStr">
        <is>
          <t>C09-02</t>
        </is>
      </c>
      <c r="B139" s="10" t="inlineStr">
        <is>
          <t>C09 零售賣場與百貨</t>
        </is>
      </c>
      <c r="C139" s="11" t="inlineStr">
        <is>
          <t>高價商品的防盜，從磁扣到什麼</t>
        </is>
      </c>
      <c r="D139" s="10" t="inlineStr">
        <is>
          <t>現象觀察</t>
        </is>
      </c>
      <c r="E139" s="12" t="inlineStr">
        <is>
          <t>BLE 地理圍欄防損</t>
        </is>
      </c>
      <c r="F139" s="11" t="inlineStr">
        <is>
          <t>國際零售防損趨勢</t>
        </is>
      </c>
      <c r="G139" s="10" t="inlineStr">
        <is>
          <t>產業媒體</t>
        </is>
      </c>
      <c r="H139" s="10" t="inlineStr">
        <is>
          <t>L2</t>
        </is>
      </c>
    </row>
    <row r="140">
      <c r="A140" s="7" t="inlineStr">
        <is>
          <t>C09-03</t>
        </is>
      </c>
      <c r="B140" s="7" t="inlineStr">
        <is>
          <t>C09 零售賣場與百貨</t>
        </is>
      </c>
      <c r="C140" s="8" t="inlineStr">
        <is>
          <t>百貨公司的動線設計，其實有數據</t>
        </is>
      </c>
      <c r="D140" s="7" t="inlineStr">
        <is>
          <t>現象觀察</t>
        </is>
      </c>
      <c r="E140" s="12" t="inlineStr">
        <is>
          <t>Wi-Fi／BLE 人流分析</t>
        </is>
      </c>
      <c r="F140" s="8" t="inlineStr">
        <is>
          <t>人流資料的商業價值</t>
        </is>
      </c>
      <c r="G140" s="7" t="inlineStr">
        <is>
          <t>產業媒體</t>
        </is>
      </c>
      <c r="H140" s="7" t="inlineStr">
        <is>
          <t>L1</t>
        </is>
      </c>
    </row>
    <row r="141">
      <c r="A141" s="10" t="inlineStr">
        <is>
          <t>C09-04</t>
        </is>
      </c>
      <c r="B141" s="10" t="inlineStr">
        <is>
          <t>C09 零售賣場與百貨</t>
        </is>
      </c>
      <c r="C141" s="11" t="inlineStr">
        <is>
          <t>你在賣場平均走多遠</t>
        </is>
      </c>
      <c r="D141" s="10" t="inlineStr">
        <is>
          <t>冷知識</t>
        </is>
      </c>
      <c r="E141" s="12" t="inlineStr">
        <is>
          <t>室內定位軌跡</t>
        </is>
      </c>
      <c r="F141" s="11" t="inlineStr">
        <is>
          <t>軌跡資料的日常趣味</t>
        </is>
      </c>
      <c r="G141" s="10" t="inlineStr">
        <is>
          <t>Threads</t>
        </is>
      </c>
      <c r="H141" s="10" t="inlineStr">
        <is>
          <t>L0</t>
        </is>
      </c>
    </row>
    <row r="142">
      <c r="A142" s="7" t="inlineStr">
        <is>
          <t>C09-05</t>
        </is>
      </c>
      <c r="B142" s="7" t="inlineStr">
        <is>
          <t>C09 零售賣場與百貨</t>
        </is>
      </c>
      <c r="C142" s="8" t="inlineStr">
        <is>
          <t>店員找貨的時間，佔工時多少</t>
        </is>
      </c>
      <c r="D142" s="7" t="inlineStr">
        <is>
          <t>市場調查</t>
        </is>
      </c>
      <c r="E142" s="12" t="inlineStr">
        <is>
          <t>BLE 資產定位</t>
        </is>
      </c>
      <c r="F142" s="8" t="inlineStr">
        <is>
          <t>找東西的時間成本再現</t>
        </is>
      </c>
      <c r="G142" s="7" t="inlineStr">
        <is>
          <t>產業媒體</t>
        </is>
      </c>
      <c r="H142" s="7" t="inlineStr">
        <is>
          <t>L1</t>
        </is>
      </c>
    </row>
    <row r="143">
      <c r="A143" s="10" t="inlineStr">
        <is>
          <t>C09-06</t>
        </is>
      </c>
      <c r="B143" s="10" t="inlineStr">
        <is>
          <t>C09 零售賣場與百貨</t>
        </is>
      </c>
      <c r="C143" s="11" t="inlineStr">
        <is>
          <t>無人商店的下一步是什麼</t>
        </is>
      </c>
      <c r="D143" s="10" t="inlineStr">
        <is>
          <t>現象觀察</t>
        </is>
      </c>
      <c r="E143" s="12" t="inlineStr">
        <is>
          <t>UWB｜電腦視覺</t>
        </is>
      </c>
      <c r="F143" s="11" t="inlineStr">
        <is>
          <t>技術路線的比較</t>
        </is>
      </c>
      <c r="G143" s="10" t="inlineStr">
        <is>
          <t>技術部落格</t>
        </is>
      </c>
      <c r="H143" s="10" t="inlineStr">
        <is>
          <t>L2</t>
        </is>
      </c>
    </row>
    <row r="144">
      <c r="A144" s="7" t="inlineStr">
        <is>
          <t>C09-07</t>
        </is>
      </c>
      <c r="B144" s="7" t="inlineStr">
        <is>
          <t>C09 零售賣場與百貨</t>
        </is>
      </c>
      <c r="C144" s="8" t="inlineStr">
        <is>
          <t>生鮮冷櫃的溫度，誰在半夜盯</t>
        </is>
      </c>
      <c r="D144" s="7" t="inlineStr">
        <is>
          <t>現象觀察</t>
        </is>
      </c>
      <c r="E144" s="12" t="inlineStr">
        <is>
          <t>溫度告警</t>
        </is>
      </c>
      <c r="F144" s="8" t="inlineStr">
        <is>
          <t>夜間無人時段的監控</t>
        </is>
      </c>
      <c r="G144" s="7" t="inlineStr">
        <is>
          <t>產業媒體</t>
        </is>
      </c>
      <c r="H144" s="7" t="inlineStr">
        <is>
          <t>L1</t>
        </is>
      </c>
    </row>
    <row r="145">
      <c r="A145" s="10" t="inlineStr">
        <is>
          <t>C09-08</t>
        </is>
      </c>
      <c r="B145" s="10" t="inlineStr">
        <is>
          <t>C09 零售賣場與百貨</t>
        </is>
      </c>
      <c r="C145" s="11" t="inlineStr">
        <is>
          <t>賣場裡走失的長輩，通常在哪一區</t>
        </is>
      </c>
      <c r="D145" s="10" t="inlineStr">
        <is>
          <t>現象觀察</t>
        </is>
      </c>
      <c r="E145" s="12" t="inlineStr">
        <is>
          <t>區域判讀</t>
        </is>
      </c>
      <c r="F145" s="11" t="inlineStr">
        <is>
          <t>場域內走失的熱點</t>
        </is>
      </c>
      <c r="G145" s="10" t="inlineStr">
        <is>
          <t>Threads</t>
        </is>
      </c>
      <c r="H145" s="10" t="inlineStr">
        <is>
          <t>L1</t>
        </is>
      </c>
    </row>
    <row r="146">
      <c r="A146" s="7" t="inlineStr">
        <is>
          <t>C09-09</t>
        </is>
      </c>
      <c r="B146" s="7" t="inlineStr">
        <is>
          <t>C09 零售賣場與百貨</t>
        </is>
      </c>
      <c r="C146" s="8" t="inlineStr">
        <is>
          <t>百貨的失物招領，一年收到多少東西</t>
        </is>
      </c>
      <c r="D146" s="7" t="inlineStr">
        <is>
          <t>市場調查</t>
        </is>
      </c>
      <c r="E146" s="8" t="inlineStr">
        <is>
          <t>—</t>
        </is>
      </c>
      <c r="F146" s="8" t="inlineStr">
        <is>
          <t>遺失規模的具體化</t>
        </is>
      </c>
      <c r="G146" s="7" t="inlineStr">
        <is>
          <t>Threads</t>
        </is>
      </c>
      <c r="H146" s="7" t="inlineStr">
        <is>
          <t>L0</t>
        </is>
      </c>
    </row>
    <row r="147">
      <c r="A147" s="10" t="inlineStr">
        <is>
          <t>C09-10</t>
        </is>
      </c>
      <c r="B147" s="10" t="inlineStr">
        <is>
          <t>C09 零售賣場與百貨</t>
        </is>
      </c>
      <c r="C147" s="11" t="inlineStr">
        <is>
          <t>購物車裡的商品，能不能自己結帳</t>
        </is>
      </c>
      <c r="D147" s="10" t="inlineStr">
        <is>
          <t>跨界類比</t>
        </is>
      </c>
      <c r="E147" s="12" t="inlineStr">
        <is>
          <t>RFID 批次讀取</t>
        </is>
      </c>
      <c r="F147" s="11" t="inlineStr">
        <is>
          <t>識別與定位的分工</t>
        </is>
      </c>
      <c r="G147" s="10" t="inlineStr">
        <is>
          <t>技術部落格</t>
        </is>
      </c>
      <c r="H147" s="10" t="inlineStr">
        <is>
          <t>L1</t>
        </is>
      </c>
    </row>
    <row r="148">
      <c r="A148" s="7" t="inlineStr">
        <is>
          <t>C09-11</t>
        </is>
      </c>
      <c r="B148" s="7" t="inlineStr">
        <is>
          <t>C09 零售賣場與百貨</t>
        </is>
      </c>
      <c r="C148" s="8" t="inlineStr">
        <is>
          <t>超市的店員呼叫鈴，為什麼常沒人來</t>
        </is>
      </c>
      <c r="D148" s="7" t="inlineStr">
        <is>
          <t>現象觀察</t>
        </is>
      </c>
      <c r="E148" s="12" t="inlineStr">
        <is>
          <t>人員區域定位</t>
        </is>
      </c>
      <c r="F148" s="8" t="inlineStr">
        <is>
          <t>呼叫與派工的效率</t>
        </is>
      </c>
      <c r="G148" s="7" t="inlineStr">
        <is>
          <t>產業媒體</t>
        </is>
      </c>
      <c r="H148" s="7" t="inlineStr">
        <is>
          <t>L1</t>
        </is>
      </c>
    </row>
    <row r="149">
      <c r="A149" s="10" t="inlineStr">
        <is>
          <t>C09-12</t>
        </is>
      </c>
      <c r="B149" s="10" t="inlineStr">
        <is>
          <t>C09 零售賣場與百貨</t>
        </is>
      </c>
      <c r="C149" s="11" t="inlineStr">
        <is>
          <t>促銷檔期的人流尖峰，能預測嗎</t>
        </is>
      </c>
      <c r="D149" s="10" t="inlineStr">
        <is>
          <t>市場調查</t>
        </is>
      </c>
      <c r="E149" s="12" t="inlineStr">
        <is>
          <t>人流資料</t>
        </is>
      </c>
      <c r="F149" s="11" t="inlineStr">
        <is>
          <t>資料驅動的營運</t>
        </is>
      </c>
      <c r="G149" s="10" t="inlineStr">
        <is>
          <t>產業媒體</t>
        </is>
      </c>
      <c r="H149" s="10" t="inlineStr">
        <is>
          <t>L1</t>
        </is>
      </c>
    </row>
    <row r="150">
      <c r="A150" s="7" t="inlineStr">
        <is>
          <t>C09-13</t>
        </is>
      </c>
      <c r="B150" s="7" t="inlineStr">
        <is>
          <t>C09 零售賣場與百貨</t>
        </is>
      </c>
      <c r="C150" s="8" t="inlineStr">
        <is>
          <t>銀髮友善賣場，國外怎麼做</t>
        </is>
      </c>
      <c r="D150" s="7" t="inlineStr">
        <is>
          <t>市場調查</t>
        </is>
      </c>
      <c r="E150" s="12" t="inlineStr">
        <is>
          <t>國際高齡友善零售</t>
        </is>
      </c>
      <c r="F150" s="8" t="inlineStr">
        <is>
          <t>國際對照</t>
        </is>
      </c>
      <c r="G150" s="7" t="inlineStr">
        <is>
          <t>部落格</t>
        </is>
      </c>
      <c r="H150" s="7" t="inlineStr">
        <is>
          <t>L0</t>
        </is>
      </c>
    </row>
    <row r="151">
      <c r="A151" s="10" t="inlineStr">
        <is>
          <t>C09-14</t>
        </is>
      </c>
      <c r="B151" s="10" t="inlineStr">
        <is>
          <t>C09 零售賣場與百貨</t>
        </is>
      </c>
      <c r="C151" s="11" t="inlineStr">
        <is>
          <t>停車場找不到車，比你想的常見</t>
        </is>
      </c>
      <c r="D151" s="10" t="inlineStr">
        <is>
          <t>現象觀察</t>
        </is>
      </c>
      <c r="E151" s="12" t="inlineStr">
        <is>
          <t>BLE｜室內定位</t>
        </is>
      </c>
      <c r="F151" s="11" t="inlineStr">
        <is>
          <t>停車場是定位需求最直覺的場景</t>
        </is>
      </c>
      <c r="G151" s="10" t="inlineStr">
        <is>
          <t>Threads</t>
        </is>
      </c>
      <c r="H151" s="10" t="inlineStr">
        <is>
          <t>L1</t>
        </is>
      </c>
    </row>
    <row r="152">
      <c r="A152" s="7" t="inlineStr">
        <is>
          <t>C09-15</t>
        </is>
      </c>
      <c r="B152" s="7" t="inlineStr">
        <is>
          <t>C09 零售賣場與百貨</t>
        </is>
      </c>
      <c r="C152" s="8" t="inlineStr">
        <is>
          <t>賣場的緊急疏散，人數怎麼確認</t>
        </is>
      </c>
      <c r="D152" s="7" t="inlineStr">
        <is>
          <t>現象觀察</t>
        </is>
      </c>
      <c r="E152" s="12" t="inlineStr">
        <is>
          <t>BLE 人員盤點</t>
        </is>
      </c>
      <c r="F152" s="8" t="inlineStr">
        <is>
          <t>疏散盤點的跨場域需求</t>
        </is>
      </c>
      <c r="G152" s="7" t="inlineStr">
        <is>
          <t>產業媒體</t>
        </is>
      </c>
      <c r="H152" s="7" t="inlineStr">
        <is>
          <t>L2</t>
        </is>
      </c>
    </row>
    <row r="153">
      <c r="A153" s="10" t="inlineStr">
        <is>
          <t>C09-16</t>
        </is>
      </c>
      <c r="B153" s="10" t="inlineStr">
        <is>
          <t>C09 零售賣場與百貨</t>
        </is>
      </c>
      <c r="C153" s="11" t="inlineStr">
        <is>
          <t>櫃姐的一天要走多少步</t>
        </is>
      </c>
      <c r="D153" s="10" t="inlineStr">
        <is>
          <t>現象觀察</t>
        </is>
      </c>
      <c r="E153" s="12" t="inlineStr">
        <is>
          <t>軌跡與步數</t>
        </is>
      </c>
      <c r="F153" s="11" t="inlineStr">
        <is>
          <t>人員動線的具象化</t>
        </is>
      </c>
      <c r="G153" s="10" t="inlineStr">
        <is>
          <t>Threads</t>
        </is>
      </c>
      <c r="H153" s="10" t="inlineStr">
        <is>
          <t>L0</t>
        </is>
      </c>
    </row>
    <row r="154">
      <c r="A154" s="7" t="inlineStr">
        <is>
          <t>C09-17</t>
        </is>
      </c>
      <c r="B154" s="7" t="inlineStr">
        <is>
          <t>C09 零售賣場與百貨</t>
        </is>
      </c>
      <c r="C154" s="8" t="inlineStr">
        <is>
          <t>如果貨架自己知道缺貨了</t>
        </is>
      </c>
      <c r="D154" s="7" t="inlineStr">
        <is>
          <t>跨界類比</t>
        </is>
      </c>
      <c r="E154" s="12" t="inlineStr">
        <is>
          <t>感測標籤</t>
        </is>
      </c>
      <c r="F154" s="8" t="inlineStr">
        <is>
          <t>物聯網的零售想像</t>
        </is>
      </c>
      <c r="G154" s="7" t="inlineStr">
        <is>
          <t>技術部落格</t>
        </is>
      </c>
      <c r="H154" s="7" t="inlineStr">
        <is>
          <t>L1</t>
        </is>
      </c>
    </row>
    <row r="155">
      <c r="A155" s="10" t="inlineStr">
        <is>
          <t>C10-01</t>
        </is>
      </c>
      <c r="B155" s="10" t="inlineStr">
        <is>
          <t>C10 傳統市場與攤商</t>
        </is>
      </c>
      <c r="C155" s="11" t="inlineStr">
        <is>
          <t>菜市場的長輩，走失了往哪找</t>
        </is>
      </c>
      <c r="D155" s="10" t="inlineStr">
        <is>
          <t>現象觀察</t>
        </is>
      </c>
      <c r="E155" s="12" t="inlineStr">
        <is>
          <t>群眾網路密度</t>
        </is>
      </c>
      <c r="F155" s="11" t="inlineStr">
        <is>
          <t>人多的地方回報快，這是誠實的前提</t>
        </is>
      </c>
      <c r="G155" s="10" t="inlineStr">
        <is>
          <t>Threads／FB</t>
        </is>
      </c>
      <c r="H155" s="10" t="inlineStr">
        <is>
          <t>L1</t>
        </is>
      </c>
    </row>
    <row r="156">
      <c r="A156" s="7" t="inlineStr">
        <is>
          <t>C10-02</t>
        </is>
      </c>
      <c r="B156" s="7" t="inlineStr">
        <is>
          <t>C10 傳統市場與攤商</t>
        </is>
      </c>
      <c r="C156" s="8" t="inlineStr">
        <is>
          <t>攤商的推車與冰桶，怎麼防丟</t>
        </is>
      </c>
      <c r="D156" s="7" t="inlineStr">
        <is>
          <t>現象觀察</t>
        </is>
      </c>
      <c r="E156" s="12" t="inlineStr">
        <is>
          <t>BLE 標籤</t>
        </is>
      </c>
      <c r="F156" s="8" t="inlineStr">
        <is>
          <t>微型商家的資產需求</t>
        </is>
      </c>
      <c r="G156" s="7" t="inlineStr">
        <is>
          <t>Threads</t>
        </is>
      </c>
      <c r="H156" s="7" t="inlineStr">
        <is>
          <t>L0</t>
        </is>
      </c>
    </row>
    <row r="157">
      <c r="A157" s="10" t="inlineStr">
        <is>
          <t>C10-03</t>
        </is>
      </c>
      <c r="B157" s="10" t="inlineStr">
        <is>
          <t>C10 傳統市場與攤商</t>
        </is>
      </c>
      <c r="C157" s="11" t="inlineStr">
        <is>
          <t>市場的冷藏設備，溫度誰在管</t>
        </is>
      </c>
      <c r="D157" s="10" t="inlineStr">
        <is>
          <t>現象觀察</t>
        </is>
      </c>
      <c r="E157" s="12" t="inlineStr">
        <is>
          <t>溫度感測標籤</t>
        </is>
      </c>
      <c r="F157" s="11" t="inlineStr">
        <is>
          <t>食安的基層現實</t>
        </is>
      </c>
      <c r="G157" s="10" t="inlineStr">
        <is>
          <t>產業媒體</t>
        </is>
      </c>
      <c r="H157" s="10" t="inlineStr">
        <is>
          <t>L1</t>
        </is>
      </c>
    </row>
    <row r="158">
      <c r="A158" s="7" t="inlineStr">
        <is>
          <t>C10-04</t>
        </is>
      </c>
      <c r="B158" s="7" t="inlineStr">
        <is>
          <t>C10 傳統市場與攤商</t>
        </is>
      </c>
      <c r="C158" s="8" t="inlineStr">
        <is>
          <t>早市與黃昏市場的人流差異</t>
        </is>
      </c>
      <c r="D158" s="7" t="inlineStr">
        <is>
          <t>市場調查</t>
        </is>
      </c>
      <c r="E158" s="12" t="inlineStr">
        <is>
          <t>人流資料</t>
        </is>
      </c>
      <c r="F158" s="8" t="inlineStr">
        <is>
          <t>生活資料的趣味化</t>
        </is>
      </c>
      <c r="G158" s="7" t="inlineStr">
        <is>
          <t>Threads</t>
        </is>
      </c>
      <c r="H158" s="7" t="inlineStr">
        <is>
          <t>L0</t>
        </is>
      </c>
    </row>
    <row r="159">
      <c r="A159" s="10" t="inlineStr">
        <is>
          <t>C10-05</t>
        </is>
      </c>
      <c r="B159" s="10" t="inlineStr">
        <is>
          <t>C10 傳統市場與攤商</t>
        </is>
      </c>
      <c r="C159" s="11" t="inlineStr">
        <is>
          <t>攤位租金與人流的關係</t>
        </is>
      </c>
      <c r="D159" s="10" t="inlineStr">
        <is>
          <t>市場調查</t>
        </is>
      </c>
      <c r="E159" s="12" t="inlineStr">
        <is>
          <t>人流分析</t>
        </is>
      </c>
      <c r="F159" s="11" t="inlineStr">
        <is>
          <t>資料如何改變定價</t>
        </is>
      </c>
      <c r="G159" s="10" t="inlineStr">
        <is>
          <t>產業媒體</t>
        </is>
      </c>
      <c r="H159" s="10" t="inlineStr">
        <is>
          <t>L1</t>
        </is>
      </c>
    </row>
    <row r="160">
      <c r="A160" s="7" t="inlineStr">
        <is>
          <t>C10-06</t>
        </is>
      </c>
      <c r="B160" s="7" t="inlineStr">
        <is>
          <t>C10 傳統市場與攤商</t>
        </is>
      </c>
      <c r="C160" s="8" t="inlineStr">
        <is>
          <t>市場裡的無障礙，做得如何</t>
        </is>
      </c>
      <c r="D160" s="7" t="inlineStr">
        <is>
          <t>社會現狀</t>
        </is>
      </c>
      <c r="E160" s="8" t="inlineStr">
        <is>
          <t>—</t>
        </is>
      </c>
      <c r="F160" s="8" t="inlineStr">
        <is>
          <t>高齡友善的公共空間</t>
        </is>
      </c>
      <c r="G160" s="7" t="inlineStr">
        <is>
          <t>Threads</t>
        </is>
      </c>
      <c r="H160" s="7" t="inlineStr">
        <is>
          <t>L0</t>
        </is>
      </c>
    </row>
    <row r="161">
      <c r="A161" s="10" t="inlineStr">
        <is>
          <t>C10-07</t>
        </is>
      </c>
      <c r="B161" s="10" t="inlineStr">
        <is>
          <t>C10 傳統市場與攤商</t>
        </is>
      </c>
      <c r="C161" s="11" t="inlineStr">
        <is>
          <t>長輩每天去市場的固定路線</t>
        </is>
      </c>
      <c r="D161" s="10" t="inlineStr">
        <is>
          <t>現象觀察</t>
        </is>
      </c>
      <c r="E161" s="12" t="inlineStr">
        <is>
          <t>軌跡與習慣</t>
        </is>
      </c>
      <c r="F161" s="11" t="inlineStr">
        <is>
          <t>習慣路線是走失判讀的基礎</t>
        </is>
      </c>
      <c r="G161" s="10" t="inlineStr">
        <is>
          <t>FB 社團</t>
        </is>
      </c>
      <c r="H161" s="10" t="inlineStr">
        <is>
          <t>L1</t>
        </is>
      </c>
    </row>
    <row r="162">
      <c r="A162" s="7" t="inlineStr">
        <is>
          <t>C10-08</t>
        </is>
      </c>
      <c r="B162" s="7" t="inlineStr">
        <is>
          <t>C10 傳統市場與攤商</t>
        </is>
      </c>
      <c r="C162" s="8" t="inlineStr">
        <is>
          <t>市場攤商是最好的守望網絡</t>
        </is>
      </c>
      <c r="D162" s="7" t="inlineStr">
        <is>
          <t>現象觀察</t>
        </is>
      </c>
      <c r="E162" s="12" t="inlineStr">
        <is>
          <t>社區協尋</t>
        </is>
      </c>
      <c r="F162" s="8" t="inlineStr">
        <is>
          <t>人肉網路的力量</t>
        </is>
      </c>
      <c r="G162" s="7" t="inlineStr">
        <is>
          <t>FB 社團</t>
        </is>
      </c>
      <c r="H162" s="7" t="inlineStr">
        <is>
          <t>L0</t>
        </is>
      </c>
    </row>
    <row r="163">
      <c r="A163" s="10" t="inlineStr">
        <is>
          <t>C10-09</t>
        </is>
      </c>
      <c r="B163" s="10" t="inlineStr">
        <is>
          <t>C10 傳統市場與攤商</t>
        </is>
      </c>
      <c r="C163" s="11" t="inlineStr">
        <is>
          <t>你認識你家附近幾個攤商</t>
        </is>
      </c>
      <c r="D163" s="10" t="inlineStr">
        <is>
          <t>問卷調查</t>
        </is>
      </c>
      <c r="E163" s="11" t="inlineStr">
        <is>
          <t>—</t>
        </is>
      </c>
      <c r="F163" s="11" t="inlineStr">
        <is>
          <t>社區連結的具體化</t>
        </is>
      </c>
      <c r="G163" s="10" t="inlineStr">
        <is>
          <t>Threads</t>
        </is>
      </c>
      <c r="H163" s="10" t="inlineStr">
        <is>
          <t>L0</t>
        </is>
      </c>
    </row>
    <row r="164">
      <c r="A164" s="7" t="inlineStr">
        <is>
          <t>C10-10</t>
        </is>
      </c>
      <c r="B164" s="7" t="inlineStr">
        <is>
          <t>C10 傳統市場與攤商</t>
        </is>
      </c>
      <c r="C164" s="8" t="inlineStr">
        <is>
          <t>夜市的走失廣播，還在用喇叭</t>
        </is>
      </c>
      <c r="D164" s="7" t="inlineStr">
        <is>
          <t>社會現狀</t>
        </is>
      </c>
      <c r="E164" s="12" t="inlineStr">
        <is>
          <t>區域判讀</t>
        </is>
      </c>
      <c r="F164" s="8" t="inlineStr">
        <is>
          <t>協尋方式的世代落差</t>
        </is>
      </c>
      <c r="G164" s="7" t="inlineStr">
        <is>
          <t>Threads</t>
        </is>
      </c>
      <c r="H164" s="7" t="inlineStr">
        <is>
          <t>L0</t>
        </is>
      </c>
    </row>
    <row r="165">
      <c r="A165" s="10" t="inlineStr">
        <is>
          <t>C10-11</t>
        </is>
      </c>
      <c r="B165" s="10" t="inlineStr">
        <is>
          <t>C10 傳統市場與攤商</t>
        </is>
      </c>
      <c r="C165" s="11" t="inlineStr">
        <is>
          <t>攤商的行動支付普及了，那安全呢</t>
        </is>
      </c>
      <c r="D165" s="10" t="inlineStr">
        <is>
          <t>現象觀察</t>
        </is>
      </c>
      <c r="E165" s="11" t="inlineStr">
        <is>
          <t>—</t>
        </is>
      </c>
      <c r="F165" s="11" t="inlineStr">
        <is>
          <t>數位化的不均衡</t>
        </is>
      </c>
      <c r="G165" s="10" t="inlineStr">
        <is>
          <t>Threads</t>
        </is>
      </c>
      <c r="H165" s="10" t="inlineStr">
        <is>
          <t>L0</t>
        </is>
      </c>
    </row>
    <row r="166">
      <c r="A166" s="7" t="inlineStr">
        <is>
          <t>C10-12</t>
        </is>
      </c>
      <c r="B166" s="7" t="inlineStr">
        <is>
          <t>C10 傳統市場與攤商</t>
        </is>
      </c>
      <c r="C166" s="8" t="inlineStr">
        <is>
          <t>市場火災的疏散，怎麼確認人</t>
        </is>
      </c>
      <c r="D166" s="7" t="inlineStr">
        <is>
          <t>現象觀察</t>
        </is>
      </c>
      <c r="E166" s="12" t="inlineStr">
        <is>
          <t>人員盤點</t>
        </is>
      </c>
      <c r="F166" s="8" t="inlineStr">
        <is>
          <t>公共場域的安全</t>
        </is>
      </c>
      <c r="G166" s="7" t="inlineStr">
        <is>
          <t>產業媒體</t>
        </is>
      </c>
      <c r="H166" s="7" t="inlineStr">
        <is>
          <t>L1</t>
        </is>
      </c>
    </row>
    <row r="167">
      <c r="A167" s="10" t="inlineStr">
        <is>
          <t>C10-13</t>
        </is>
      </c>
      <c r="B167" s="10" t="inlineStr">
        <is>
          <t>C10 傳統市場與攤商</t>
        </is>
      </c>
      <c r="C167" s="11" t="inlineStr">
        <is>
          <t>生鮮從產地到攤位，經過幾手</t>
        </is>
      </c>
      <c r="D167" s="10" t="inlineStr">
        <is>
          <t>市場調查</t>
        </is>
      </c>
      <c r="E167" s="12" t="inlineStr">
        <is>
          <t>供應鏈追溯</t>
        </is>
      </c>
      <c r="F167" s="11" t="inlineStr">
        <is>
          <t>溯源的消費者價值</t>
        </is>
      </c>
      <c r="G167" s="10" t="inlineStr">
        <is>
          <t>Threads</t>
        </is>
      </c>
      <c r="H167" s="10" t="inlineStr">
        <is>
          <t>L1</t>
        </is>
      </c>
    </row>
    <row r="168">
      <c r="A168" s="7" t="inlineStr">
        <is>
          <t>C10-14</t>
        </is>
      </c>
      <c r="B168" s="7" t="inlineStr">
        <is>
          <t>C10 傳統市場與攤商</t>
        </is>
      </c>
      <c r="C168" s="8" t="inlineStr">
        <is>
          <t>攤商的高齡化，比你想的嚴重</t>
        </is>
      </c>
      <c r="D168" s="7" t="inlineStr">
        <is>
          <t>市場調查</t>
        </is>
      </c>
      <c r="E168" s="8" t="inlineStr">
        <is>
          <t>—</t>
        </is>
      </c>
      <c r="F168" s="8" t="inlineStr">
        <is>
          <t>銀髮就業與場域安全</t>
        </is>
      </c>
      <c r="G168" s="7" t="inlineStr">
        <is>
          <t>Threads</t>
        </is>
      </c>
      <c r="H168" s="7" t="inlineStr">
        <is>
          <t>L0</t>
        </is>
      </c>
    </row>
    <row r="169">
      <c r="A169" s="10" t="inlineStr">
        <is>
          <t>C10-15</t>
        </is>
      </c>
      <c r="B169" s="10" t="inlineStr">
        <is>
          <t>C10 傳統市場與攤商</t>
        </is>
      </c>
      <c r="C169" s="11" t="inlineStr">
        <is>
          <t>長輩在市場跌倒，多久會被發現</t>
        </is>
      </c>
      <c r="D169" s="10" t="inlineStr">
        <is>
          <t>現象觀察</t>
        </is>
      </c>
      <c r="E169" s="12" t="inlineStr">
        <is>
          <t>久未移動告警</t>
        </is>
      </c>
      <c r="F169" s="11" t="inlineStr">
        <is>
          <t>公共空間的異常偵測</t>
        </is>
      </c>
      <c r="G169" s="10" t="inlineStr">
        <is>
          <t>Threads</t>
        </is>
      </c>
      <c r="H169" s="10" t="inlineStr">
        <is>
          <t>L1</t>
        </is>
      </c>
    </row>
    <row r="170">
      <c r="A170" s="7" t="inlineStr">
        <is>
          <t>C10-16</t>
        </is>
      </c>
      <c r="B170" s="7" t="inlineStr">
        <is>
          <t>C10 傳統市場與攤商</t>
        </is>
      </c>
      <c r="C170" s="8" t="inlineStr">
        <is>
          <t>市場改建後，長輩找不到原本的攤位</t>
        </is>
      </c>
      <c r="D170" s="7" t="inlineStr">
        <is>
          <t>社會現狀</t>
        </is>
      </c>
      <c r="E170" s="12" t="inlineStr">
        <is>
          <t>空間認知</t>
        </is>
      </c>
      <c r="F170" s="8" t="inlineStr">
        <is>
          <t>環境改變與失智者的定向</t>
        </is>
      </c>
      <c r="G170" s="7" t="inlineStr">
        <is>
          <t>Threads</t>
        </is>
      </c>
      <c r="H170" s="7" t="inlineStr">
        <is>
          <t>L0</t>
        </is>
      </c>
    </row>
    <row r="171">
      <c r="A171" s="10" t="inlineStr">
        <is>
          <t>C10-17</t>
        </is>
      </c>
      <c r="B171" s="10" t="inlineStr">
        <is>
          <t>C10 傳統市場與攤商</t>
        </is>
      </c>
      <c r="C171" s="11" t="inlineStr">
        <is>
          <t>如果市場入口有個看不見的門檻</t>
        </is>
      </c>
      <c r="D171" s="10" t="inlineStr">
        <is>
          <t>跨界類比</t>
        </is>
      </c>
      <c r="E171" s="12" t="inlineStr">
        <is>
          <t>電子圍籬</t>
        </is>
      </c>
      <c r="F171" s="11" t="inlineStr">
        <is>
          <t>圍籬概念的生活化比喻</t>
        </is>
      </c>
      <c r="G171" s="10" t="inlineStr">
        <is>
          <t>Threads</t>
        </is>
      </c>
      <c r="H171" s="10" t="inlineStr">
        <is>
          <t>L1</t>
        </is>
      </c>
    </row>
    <row r="172">
      <c r="A172" s="7" t="inlineStr">
        <is>
          <t>C11-01</t>
        </is>
      </c>
      <c r="B172" s="7" t="inlineStr">
        <is>
          <t>C11 建築工地與職人</t>
        </is>
      </c>
      <c r="C172" s="8" t="inlineStr">
        <is>
          <t>工地最常不見的工具排行</t>
        </is>
      </c>
      <c r="D172" s="7" t="inlineStr">
        <is>
          <t>市場調查</t>
        </is>
      </c>
      <c r="E172" s="12" t="inlineStr">
        <is>
          <t>BLE 資產標籤</t>
        </is>
      </c>
      <c r="F172" s="8" t="inlineStr">
        <is>
          <t>工具流失的真實成本</t>
        </is>
      </c>
      <c r="G172" s="7" t="inlineStr">
        <is>
          <t>產業媒體</t>
        </is>
      </c>
      <c r="H172" s="7" t="inlineStr">
        <is>
          <t>L1</t>
        </is>
      </c>
    </row>
    <row r="173">
      <c r="A173" s="10" t="inlineStr">
        <is>
          <t>C11-02</t>
        </is>
      </c>
      <c r="B173" s="10" t="inlineStr">
        <is>
          <t>C11 建築工地與職人</t>
        </is>
      </c>
      <c r="C173" s="11" t="inlineStr">
        <is>
          <t>工地點名，現在還在用紙本嗎</t>
        </is>
      </c>
      <c r="D173" s="10" t="inlineStr">
        <is>
          <t>現象觀察</t>
        </is>
      </c>
      <c r="E173" s="12" t="inlineStr">
        <is>
          <t>BLE 智慧工牌</t>
        </is>
      </c>
      <c r="F173" s="11" t="inlineStr">
        <is>
          <t>人員盤點的數位化</t>
        </is>
      </c>
      <c r="G173" s="10" t="inlineStr">
        <is>
          <t>LinkedIn</t>
        </is>
      </c>
      <c r="H173" s="10" t="inlineStr">
        <is>
          <t>L1</t>
        </is>
      </c>
    </row>
    <row r="174">
      <c r="A174" s="7" t="inlineStr">
        <is>
          <t>C11-03</t>
        </is>
      </c>
      <c r="B174" s="7" t="inlineStr">
        <is>
          <t>C11 建築工地與職人</t>
        </is>
      </c>
      <c r="C174" s="8" t="inlineStr">
        <is>
          <t>鷹架上的單獨作業，誰在看著</t>
        </is>
      </c>
      <c r="D174" s="7" t="inlineStr">
        <is>
          <t>現象觀察</t>
        </is>
      </c>
      <c r="E174" s="12" t="inlineStr">
        <is>
          <t>久未移動告警</t>
        </is>
      </c>
      <c r="F174" s="8" t="inlineStr">
        <is>
          <t>高風險作業的安全網</t>
        </is>
      </c>
      <c r="G174" s="7" t="inlineStr">
        <is>
          <t>產業媒體</t>
        </is>
      </c>
      <c r="H174" s="7" t="inlineStr">
        <is>
          <t>L2</t>
        </is>
      </c>
    </row>
    <row r="175">
      <c r="A175" s="10" t="inlineStr">
        <is>
          <t>C11-04</t>
        </is>
      </c>
      <c r="B175" s="10" t="inlineStr">
        <is>
          <t>C11 建築工地與職人</t>
        </is>
      </c>
      <c r="C175" s="11" t="inlineStr">
        <is>
          <t>承攬商進場管理，最常出什麼包</t>
        </is>
      </c>
      <c r="D175" s="10" t="inlineStr">
        <is>
          <t>現象觀察</t>
        </is>
      </c>
      <c r="E175" s="12" t="inlineStr">
        <is>
          <t>門禁＋定位</t>
        </is>
      </c>
      <c r="F175" s="11" t="inlineStr">
        <is>
          <t>承攬商是工安管理的破口</t>
        </is>
      </c>
      <c r="G175" s="10" t="inlineStr">
        <is>
          <t>LinkedIn</t>
        </is>
      </c>
      <c r="H175" s="10" t="inlineStr">
        <is>
          <t>L2</t>
        </is>
      </c>
    </row>
    <row r="176">
      <c r="A176" s="7" t="inlineStr">
        <is>
          <t>C11-05</t>
        </is>
      </c>
      <c r="B176" s="7" t="inlineStr">
        <is>
          <t>C11 建築工地與職人</t>
        </is>
      </c>
      <c r="C176" s="8" t="inlineStr">
        <is>
          <t>工地的求救按鈕，按得到嗎</t>
        </is>
      </c>
      <c r="D176" s="7" t="inlineStr">
        <is>
          <t>問卷調查</t>
        </is>
      </c>
      <c r="E176" s="12" t="inlineStr">
        <is>
          <t>SOS 設計</t>
        </is>
      </c>
      <c r="F176" s="8" t="inlineStr">
        <is>
          <t>求救鍵的實際可用性</t>
        </is>
      </c>
      <c r="G176" s="7" t="inlineStr">
        <is>
          <t>產業媒體</t>
        </is>
      </c>
      <c r="H176" s="7" t="inlineStr">
        <is>
          <t>L1</t>
        </is>
      </c>
    </row>
    <row r="177">
      <c r="A177" s="10" t="inlineStr">
        <is>
          <t>C11-06</t>
        </is>
      </c>
      <c r="B177" s="10" t="inlineStr">
        <is>
          <t>C11 建築工地與職人</t>
        </is>
      </c>
      <c r="C177" s="11" t="inlineStr">
        <is>
          <t>鋼筋、模板、機具：哪一項最容易被偷</t>
        </is>
      </c>
      <c r="D177" s="10" t="inlineStr">
        <is>
          <t>市場調查</t>
        </is>
      </c>
      <c r="E177" s="12" t="inlineStr">
        <is>
          <t>GPS 追蹤器｜BLE</t>
        </is>
      </c>
      <c r="F177" s="11" t="inlineStr">
        <is>
          <t>高價資產的防竊</t>
        </is>
      </c>
      <c r="G177" s="10" t="inlineStr">
        <is>
          <t>產業媒體</t>
        </is>
      </c>
      <c r="H177" s="10" t="inlineStr">
        <is>
          <t>L1</t>
        </is>
      </c>
    </row>
    <row r="178">
      <c r="A178" s="7" t="inlineStr">
        <is>
          <t>C11-07</t>
        </is>
      </c>
      <c r="B178" s="7" t="inlineStr">
        <is>
          <t>C11 建築工地與職人</t>
        </is>
      </c>
      <c r="C178" s="8" t="inlineStr">
        <is>
          <t>水電師傅一天要跑幾個工地</t>
        </is>
      </c>
      <c r="D178" s="7" t="inlineStr">
        <is>
          <t>現象觀察</t>
        </is>
      </c>
      <c r="E178" s="12" t="inlineStr">
        <is>
          <t>派工與軌跡</t>
        </is>
      </c>
      <c r="F178" s="8" t="inlineStr">
        <is>
          <t>移動工作者的調度</t>
        </is>
      </c>
      <c r="G178" s="7" t="inlineStr">
        <is>
          <t>Threads</t>
        </is>
      </c>
      <c r="H178" s="7" t="inlineStr">
        <is>
          <t>L0</t>
        </is>
      </c>
    </row>
    <row r="179">
      <c r="A179" s="10" t="inlineStr">
        <is>
          <t>C11-08</t>
        </is>
      </c>
      <c r="B179" s="10" t="inlineStr">
        <is>
          <t>C11 建築工地與職人</t>
        </is>
      </c>
      <c r="C179" s="11" t="inlineStr">
        <is>
          <t>IP67 與 IK10 是什麼意思</t>
        </is>
      </c>
      <c r="D179" s="10" t="inlineStr">
        <is>
          <t>冷知識</t>
        </is>
      </c>
      <c r="E179" s="12" t="inlineStr">
        <is>
          <t>工業防護等級</t>
        </is>
      </c>
      <c r="F179" s="11" t="inlineStr">
        <is>
          <t>戶外硬體的規格科普</t>
        </is>
      </c>
      <c r="G179" s="10" t="inlineStr">
        <is>
          <t>技術部落格</t>
        </is>
      </c>
      <c r="H179" s="10" t="inlineStr">
        <is>
          <t>L1</t>
        </is>
      </c>
    </row>
    <row r="180">
      <c r="A180" s="7" t="inlineStr">
        <is>
          <t>C11-09</t>
        </is>
      </c>
      <c r="B180" s="7" t="inlineStr">
        <is>
          <t>C11 建築工地與職人</t>
        </is>
      </c>
      <c r="C180" s="8" t="inlineStr">
        <is>
          <t>工地夜間的設備失竊率</t>
        </is>
      </c>
      <c r="D180" s="7" t="inlineStr">
        <is>
          <t>市場調查</t>
        </is>
      </c>
      <c r="E180" s="12" t="inlineStr">
        <is>
          <t>電子圍籬告警</t>
        </is>
      </c>
      <c r="F180" s="8" t="inlineStr">
        <is>
          <t>夜間無人時段的防護</t>
        </is>
      </c>
      <c r="G180" s="7" t="inlineStr">
        <is>
          <t>產業媒體</t>
        </is>
      </c>
      <c r="H180" s="7" t="inlineStr">
        <is>
          <t>L1</t>
        </is>
      </c>
    </row>
    <row r="181">
      <c r="A181" s="10" t="inlineStr">
        <is>
          <t>C11-10</t>
        </is>
      </c>
      <c r="B181" s="10" t="inlineStr">
        <is>
          <t>C11 建築工地與職人</t>
        </is>
      </c>
      <c r="C181" s="11" t="inlineStr">
        <is>
          <t>高齡工人的比例，正在上升</t>
        </is>
      </c>
      <c r="D181" s="10" t="inlineStr">
        <is>
          <t>社會現狀</t>
        </is>
      </c>
      <c r="E181" s="11" t="inlineStr">
        <is>
          <t>—</t>
        </is>
      </c>
      <c r="F181" s="11" t="inlineStr">
        <is>
          <t>勞動力高齡化與場域安全</t>
        </is>
      </c>
      <c r="G181" s="10" t="inlineStr">
        <is>
          <t>Threads</t>
        </is>
      </c>
      <c r="H181" s="10" t="inlineStr">
        <is>
          <t>L0</t>
        </is>
      </c>
    </row>
    <row r="182">
      <c r="A182" s="7" t="inlineStr">
        <is>
          <t>C11-11</t>
        </is>
      </c>
      <c r="B182" s="7" t="inlineStr">
        <is>
          <t>C11 建築工地與職人</t>
        </is>
      </c>
      <c r="C182" s="8" t="inlineStr">
        <is>
          <t>工程車隊的油耗與路線</t>
        </is>
      </c>
      <c r="D182" s="7" t="inlineStr">
        <is>
          <t>現象觀察</t>
        </is>
      </c>
      <c r="E182" s="12" t="inlineStr">
        <is>
          <t>GNSS 車輛管理</t>
        </is>
      </c>
      <c r="F182" s="8" t="inlineStr">
        <is>
          <t>車隊管理的成本效益</t>
        </is>
      </c>
      <c r="G182" s="7" t="inlineStr">
        <is>
          <t>產業媒體</t>
        </is>
      </c>
      <c r="H182" s="7" t="inlineStr">
        <is>
          <t>L1</t>
        </is>
      </c>
    </row>
    <row r="183">
      <c r="A183" s="10" t="inlineStr">
        <is>
          <t>C11-12</t>
        </is>
      </c>
      <c r="B183" s="10" t="inlineStr">
        <is>
          <t>C11 建築工地與職人</t>
        </is>
      </c>
      <c r="C183" s="11" t="inlineStr">
        <is>
          <t>鐵皮屋與金屬結構，訊號會怎樣</t>
        </is>
      </c>
      <c r="D183" s="10" t="inlineStr">
        <is>
          <t>冷知識</t>
        </is>
      </c>
      <c r="E183" s="12" t="inlineStr">
        <is>
          <t>多路徑與屏蔽</t>
        </is>
      </c>
      <c r="F183" s="11" t="inlineStr">
        <is>
          <t>金屬環境的技術誠實</t>
        </is>
      </c>
      <c r="G183" s="10" t="inlineStr">
        <is>
          <t>技術部落格</t>
        </is>
      </c>
      <c r="H183" s="10" t="inlineStr">
        <is>
          <t>L2</t>
        </is>
      </c>
    </row>
    <row r="184">
      <c r="A184" s="7" t="inlineStr">
        <is>
          <t>C11-13</t>
        </is>
      </c>
      <c r="B184" s="7" t="inlineStr">
        <is>
          <t>C11 建築工地與職人</t>
        </is>
      </c>
      <c r="C184" s="8" t="inlineStr">
        <is>
          <t>職災發生後，紀錄拿得出來嗎</t>
        </is>
      </c>
      <c r="D184" s="7" t="inlineStr">
        <is>
          <t>社會現狀</t>
        </is>
      </c>
      <c r="E184" s="12" t="inlineStr">
        <is>
          <t>歷程留痕</t>
        </is>
      </c>
      <c r="F184" s="8" t="inlineStr">
        <is>
          <t>舉證責任與事後追溯</t>
        </is>
      </c>
      <c r="G184" s="7" t="inlineStr">
        <is>
          <t>LinkedIn</t>
        </is>
      </c>
      <c r="H184" s="7" t="inlineStr">
        <is>
          <t>L2</t>
        </is>
      </c>
    </row>
    <row r="185">
      <c r="A185" s="10" t="inlineStr">
        <is>
          <t>C11-14</t>
        </is>
      </c>
      <c r="B185" s="10" t="inlineStr">
        <is>
          <t>C11 建築工地與職人</t>
        </is>
      </c>
      <c r="C185" s="11" t="inlineStr">
        <is>
          <t>外籍移工的溝通與安全管理</t>
        </is>
      </c>
      <c r="D185" s="10" t="inlineStr">
        <is>
          <t>社會現狀</t>
        </is>
      </c>
      <c r="E185" s="12" t="inlineStr">
        <is>
          <t>多語告警</t>
        </is>
      </c>
      <c r="F185" s="11" t="inlineStr">
        <is>
          <t>語言障礙下的安全設計</t>
        </is>
      </c>
      <c r="G185" s="10" t="inlineStr">
        <is>
          <t>產業媒體</t>
        </is>
      </c>
      <c r="H185" s="10" t="inlineStr">
        <is>
          <t>L1</t>
        </is>
      </c>
    </row>
    <row r="186">
      <c r="A186" s="7" t="inlineStr">
        <is>
          <t>C11-15</t>
        </is>
      </c>
      <c r="B186" s="7" t="inlineStr">
        <is>
          <t>C11 建築工地與職人</t>
        </is>
      </c>
      <c r="C186" s="8" t="inlineStr">
        <is>
          <t>工地的安全帽如果會回報位置</t>
        </is>
      </c>
      <c r="D186" s="7" t="inlineStr">
        <is>
          <t>跨界類比</t>
        </is>
      </c>
      <c r="E186" s="12" t="inlineStr">
        <is>
          <t>穿戴標籤</t>
        </is>
      </c>
      <c r="F186" s="8" t="inlineStr">
        <is>
          <t>無感配戴的另一種載體</t>
        </is>
      </c>
      <c r="G186" s="7" t="inlineStr">
        <is>
          <t>技術部落格</t>
        </is>
      </c>
      <c r="H186" s="7" t="inlineStr">
        <is>
          <t>L2</t>
        </is>
      </c>
    </row>
    <row r="187">
      <c r="A187" s="10" t="inlineStr">
        <is>
          <t>C11-16</t>
        </is>
      </c>
      <c r="B187" s="10" t="inlineStr">
        <is>
          <t>C11 建築工地與職人</t>
        </is>
      </c>
      <c r="C187" s="11" t="inlineStr">
        <is>
          <t>一個工地同時有幾個工班</t>
        </is>
      </c>
      <c r="D187" s="10" t="inlineStr">
        <is>
          <t>市場調查</t>
        </is>
      </c>
      <c r="E187" s="12" t="inlineStr">
        <is>
          <t>多方協作</t>
        </is>
      </c>
      <c r="F187" s="11" t="inlineStr">
        <is>
          <t>複雜場域的人員組成</t>
        </is>
      </c>
      <c r="G187" s="10" t="inlineStr">
        <is>
          <t>產業媒體</t>
        </is>
      </c>
      <c r="H187" s="10" t="inlineStr">
        <is>
          <t>L1</t>
        </is>
      </c>
    </row>
    <row r="188">
      <c r="A188" s="7" t="inlineStr">
        <is>
          <t>C11-17</t>
        </is>
      </c>
      <c r="B188" s="7" t="inlineStr">
        <is>
          <t>C11 建築工地與職人</t>
        </is>
      </c>
      <c r="C188" s="8" t="inlineStr">
        <is>
          <t>石化廠的巡檢防弊，怎麼做</t>
        </is>
      </c>
      <c r="D188" s="7" t="inlineStr">
        <is>
          <t>市場調查</t>
        </is>
      </c>
      <c r="E188" s="12" t="inlineStr">
        <is>
          <t>BLE 定位＋PDA 巡檢</t>
        </is>
      </c>
      <c r="F188" s="8" t="inlineStr">
        <is>
          <t>代刷卡問題的技術解</t>
        </is>
      </c>
      <c r="G188" s="7" t="inlineStr">
        <is>
          <t>產業媒體</t>
        </is>
      </c>
      <c r="H188" s="7" t="inlineStr">
        <is>
          <t>L2</t>
        </is>
      </c>
    </row>
    <row r="189">
      <c r="A189" s="10" t="inlineStr">
        <is>
          <t>C12-01</t>
        </is>
      </c>
      <c r="B189" s="10" t="inlineStr">
        <is>
          <t>C12 農林漁牧</t>
        </is>
      </c>
      <c r="C189" s="11" t="inlineStr">
        <is>
          <t>牛羊的放牧追蹤，國外做到什麼程度</t>
        </is>
      </c>
      <c r="D189" s="10" t="inlineStr">
        <is>
          <t>市場調查</t>
        </is>
      </c>
      <c r="E189" s="12" t="inlineStr">
        <is>
          <t>GNSS 項圈｜虛擬圍籬</t>
        </is>
      </c>
      <c r="F189" s="11" t="inlineStr">
        <is>
          <t>農業定位的國際實作</t>
        </is>
      </c>
      <c r="G189" s="10" t="inlineStr">
        <is>
          <t>技術部落格</t>
        </is>
      </c>
      <c r="H189" s="10" t="inlineStr">
        <is>
          <t>L1</t>
        </is>
      </c>
    </row>
    <row r="190">
      <c r="A190" s="7" t="inlineStr">
        <is>
          <t>C12-02</t>
        </is>
      </c>
      <c r="B190" s="7" t="inlineStr">
        <is>
          <t>C12 農林漁牧</t>
        </is>
      </c>
      <c r="C190" s="8" t="inlineStr">
        <is>
          <t>果園的農機具，一年少幾把</t>
        </is>
      </c>
      <c r="D190" s="7" t="inlineStr">
        <is>
          <t>市場調查</t>
        </is>
      </c>
      <c r="E190" s="12" t="inlineStr">
        <is>
          <t>BLE 標籤</t>
        </is>
      </c>
      <c r="F190" s="8" t="inlineStr">
        <is>
          <t>農業資產的流失</t>
        </is>
      </c>
      <c r="G190" s="7" t="inlineStr">
        <is>
          <t>產業媒體</t>
        </is>
      </c>
      <c r="H190" s="7" t="inlineStr">
        <is>
          <t>L1</t>
        </is>
      </c>
    </row>
    <row r="191">
      <c r="A191" s="10" t="inlineStr">
        <is>
          <t>C12-03</t>
        </is>
      </c>
      <c r="B191" s="10" t="inlineStr">
        <is>
          <t>C12 農林漁牧</t>
        </is>
      </c>
      <c r="C191" s="11" t="inlineStr">
        <is>
          <t>溫室的溫溼度紀錄，誰在看</t>
        </is>
      </c>
      <c r="D191" s="10" t="inlineStr">
        <is>
          <t>現象觀察</t>
        </is>
      </c>
      <c r="E191" s="12" t="inlineStr">
        <is>
          <t>感測標籤</t>
        </is>
      </c>
      <c r="F191" s="11" t="inlineStr">
        <is>
          <t>環境監測的基礎需求</t>
        </is>
      </c>
      <c r="G191" s="10" t="inlineStr">
        <is>
          <t>產業媒體</t>
        </is>
      </c>
      <c r="H191" s="10" t="inlineStr">
        <is>
          <t>L1</t>
        </is>
      </c>
    </row>
    <row r="192">
      <c r="A192" s="7" t="inlineStr">
        <is>
          <t>C12-04</t>
        </is>
      </c>
      <c r="B192" s="7" t="inlineStr">
        <is>
          <t>C12 農林漁牧</t>
        </is>
      </c>
      <c r="C192" s="8" t="inlineStr">
        <is>
          <t>漁船的定位回報，法規怎麼規定</t>
        </is>
      </c>
      <c r="D192" s="7" t="inlineStr">
        <is>
          <t>市場調查</t>
        </is>
      </c>
      <c r="E192" s="12" t="inlineStr">
        <is>
          <t>VMS 漁船監控</t>
        </is>
      </c>
      <c r="F192" s="8" t="inlineStr">
        <is>
          <t>法規驅動的定位需求</t>
        </is>
      </c>
      <c r="G192" s="7" t="inlineStr">
        <is>
          <t>技術部落格</t>
        </is>
      </c>
      <c r="H192" s="7" t="inlineStr">
        <is>
          <t>L1</t>
        </is>
      </c>
    </row>
    <row r="193">
      <c r="A193" s="10" t="inlineStr">
        <is>
          <t>C12-05</t>
        </is>
      </c>
      <c r="B193" s="10" t="inlineStr">
        <is>
          <t>C12 農林漁牧</t>
        </is>
      </c>
      <c r="C193" s="11" t="inlineStr">
        <is>
          <t>養殖池的水溫異常，多久會被發現</t>
        </is>
      </c>
      <c r="D193" s="10" t="inlineStr">
        <is>
          <t>現象觀察</t>
        </is>
      </c>
      <c r="E193" s="12" t="inlineStr">
        <is>
          <t>溫度告警</t>
        </is>
      </c>
      <c r="F193" s="11" t="inlineStr">
        <is>
          <t>異常偵測的通用價值</t>
        </is>
      </c>
      <c r="G193" s="10" t="inlineStr">
        <is>
          <t>產業媒體</t>
        </is>
      </c>
      <c r="H193" s="10" t="inlineStr">
        <is>
          <t>L1</t>
        </is>
      </c>
    </row>
    <row r="194">
      <c r="A194" s="7" t="inlineStr">
        <is>
          <t>C12-06</t>
        </is>
      </c>
      <c r="B194" s="7" t="inlineStr">
        <is>
          <t>C12 農林漁牧</t>
        </is>
      </c>
      <c r="C194" s="8" t="inlineStr">
        <is>
          <t>農村的長輩下田，家人怎麼放心</t>
        </is>
      </c>
      <c r="D194" s="7" t="inlineStr">
        <is>
          <t>現象觀察</t>
        </is>
      </c>
      <c r="E194" s="12" t="inlineStr">
        <is>
          <t>群眾網路密度</t>
        </is>
      </c>
      <c r="F194" s="8" t="inlineStr">
        <is>
          <t>農村低密度區的誠實限制</t>
        </is>
      </c>
      <c r="G194" s="7" t="inlineStr">
        <is>
          <t>FB 社團</t>
        </is>
      </c>
      <c r="H194" s="7" t="inlineStr">
        <is>
          <t>L1</t>
        </is>
      </c>
    </row>
    <row r="195">
      <c r="A195" s="10" t="inlineStr">
        <is>
          <t>C12-07</t>
        </is>
      </c>
      <c r="B195" s="10" t="inlineStr">
        <is>
          <t>C12 農林漁牧</t>
        </is>
      </c>
      <c r="C195" s="11" t="inlineStr">
        <is>
          <t>茶園採茶工的人數與工時</t>
        </is>
      </c>
      <c r="D195" s="10" t="inlineStr">
        <is>
          <t>現象觀察</t>
        </is>
      </c>
      <c r="E195" s="12" t="inlineStr">
        <is>
          <t>區域判讀</t>
        </is>
      </c>
      <c r="F195" s="11" t="inlineStr">
        <is>
          <t>季節性人力的管理</t>
        </is>
      </c>
      <c r="G195" s="10" t="inlineStr">
        <is>
          <t>產業媒體</t>
        </is>
      </c>
      <c r="H195" s="10" t="inlineStr">
        <is>
          <t>L1</t>
        </is>
      </c>
    </row>
    <row r="196">
      <c r="A196" s="7" t="inlineStr">
        <is>
          <t>C12-08</t>
        </is>
      </c>
      <c r="B196" s="7" t="inlineStr">
        <is>
          <t>C12 農林漁牧</t>
        </is>
      </c>
      <c r="C196" s="8" t="inlineStr">
        <is>
          <t>農產品履歷，消費者真的會看嗎</t>
        </is>
      </c>
      <c r="D196" s="7" t="inlineStr">
        <is>
          <t>問卷調查</t>
        </is>
      </c>
      <c r="E196" s="12" t="inlineStr">
        <is>
          <t>溯源系統</t>
        </is>
      </c>
      <c r="F196" s="8" t="inlineStr">
        <is>
          <t>溯源的消費端價值</t>
        </is>
      </c>
      <c r="G196" s="7" t="inlineStr">
        <is>
          <t>Threads</t>
        </is>
      </c>
      <c r="H196" s="7" t="inlineStr">
        <is>
          <t>L0</t>
        </is>
      </c>
    </row>
    <row r="197">
      <c r="A197" s="10" t="inlineStr">
        <is>
          <t>C12-09</t>
        </is>
      </c>
      <c r="B197" s="10" t="inlineStr">
        <is>
          <t>C12 農林漁牧</t>
        </is>
      </c>
      <c r="C197" s="11" t="inlineStr">
        <is>
          <t>蜂箱被偷，你知道多常發生嗎</t>
        </is>
      </c>
      <c r="D197" s="10" t="inlineStr">
        <is>
          <t>市場調查</t>
        </is>
      </c>
      <c r="E197" s="12" t="inlineStr">
        <is>
          <t>BLE 標籤</t>
        </is>
      </c>
      <c r="F197" s="11" t="inlineStr">
        <is>
          <t>冷門但真實的資產需求</t>
        </is>
      </c>
      <c r="G197" s="10" t="inlineStr">
        <is>
          <t>Threads</t>
        </is>
      </c>
      <c r="H197" s="10" t="inlineStr">
        <is>
          <t>L0</t>
        </is>
      </c>
    </row>
    <row r="198">
      <c r="A198" s="7" t="inlineStr">
        <is>
          <t>C12-10</t>
        </is>
      </c>
      <c r="B198" s="7" t="inlineStr">
        <is>
          <t>C12 農林漁牧</t>
        </is>
      </c>
      <c r="C198" s="8" t="inlineStr">
        <is>
          <t>農機共享的調度問題</t>
        </is>
      </c>
      <c r="D198" s="7" t="inlineStr">
        <is>
          <t>現象觀察</t>
        </is>
      </c>
      <c r="E198" s="12" t="inlineStr">
        <is>
          <t>GNSS 派遣</t>
        </is>
      </c>
      <c r="F198" s="8" t="inlineStr">
        <is>
          <t>共享經濟的定位基礎</t>
        </is>
      </c>
      <c r="G198" s="7" t="inlineStr">
        <is>
          <t>產業媒體</t>
        </is>
      </c>
      <c r="H198" s="7" t="inlineStr">
        <is>
          <t>L1</t>
        </is>
      </c>
    </row>
    <row r="199">
      <c r="A199" s="10" t="inlineStr">
        <is>
          <t>C12-11</t>
        </is>
      </c>
      <c r="B199" s="10" t="inlineStr">
        <is>
          <t>C12 農林漁牧</t>
        </is>
      </c>
      <c r="C199" s="11" t="inlineStr">
        <is>
          <t>偏鄉的網路覆蓋，影響了什麼</t>
        </is>
      </c>
      <c r="D199" s="10" t="inlineStr">
        <is>
          <t>社會現狀</t>
        </is>
      </c>
      <c r="E199" s="12" t="inlineStr">
        <is>
          <t>LoRa｜衛星回傳</t>
        </is>
      </c>
      <c r="F199" s="11" t="inlineStr">
        <is>
          <t>低網路環境的技術選型</t>
        </is>
      </c>
      <c r="G199" s="10" t="inlineStr">
        <is>
          <t>技術部落格</t>
        </is>
      </c>
      <c r="H199" s="10" t="inlineStr">
        <is>
          <t>L2</t>
        </is>
      </c>
    </row>
    <row r="200">
      <c r="A200" s="7" t="inlineStr">
        <is>
          <t>C12-12</t>
        </is>
      </c>
      <c r="B200" s="7" t="inlineStr">
        <is>
          <t>C12 農林漁牧</t>
        </is>
      </c>
      <c r="C200" s="8" t="inlineStr">
        <is>
          <t>冷鏈從產地開始，才有意義</t>
        </is>
      </c>
      <c r="D200" s="7" t="inlineStr">
        <is>
          <t>現象觀察</t>
        </is>
      </c>
      <c r="E200" s="12" t="inlineStr">
        <is>
          <t>BLE 溫度標籤</t>
        </is>
      </c>
      <c r="F200" s="8" t="inlineStr">
        <is>
          <t>產地端的冷鏈起點</t>
        </is>
      </c>
      <c r="G200" s="7" t="inlineStr">
        <is>
          <t>產業媒體</t>
        </is>
      </c>
      <c r="H200" s="7" t="inlineStr">
        <is>
          <t>L2</t>
        </is>
      </c>
    </row>
    <row r="201">
      <c r="A201" s="10" t="inlineStr">
        <is>
          <t>C12-13</t>
        </is>
      </c>
      <c r="B201" s="10" t="inlineStr">
        <is>
          <t>C12 農林漁牧</t>
        </is>
      </c>
      <c r="C201" s="11" t="inlineStr">
        <is>
          <t>農村高齡化與獨居，數字長什麼樣</t>
        </is>
      </c>
      <c r="D201" s="10" t="inlineStr">
        <is>
          <t>市場調查</t>
        </is>
      </c>
      <c r="E201" s="11" t="inlineStr">
        <is>
          <t>—</t>
        </is>
      </c>
      <c r="F201" s="11" t="inlineStr">
        <is>
          <t>議題重量的建立</t>
        </is>
      </c>
      <c r="G201" s="10" t="inlineStr">
        <is>
          <t>Threads</t>
        </is>
      </c>
      <c r="H201" s="10" t="inlineStr">
        <is>
          <t>L0</t>
        </is>
      </c>
    </row>
    <row r="202">
      <c r="A202" s="7" t="inlineStr">
        <is>
          <t>C12-14</t>
        </is>
      </c>
      <c r="B202" s="7" t="inlineStr">
        <is>
          <t>C12 農林漁牧</t>
        </is>
      </c>
      <c r="C202" s="8" t="inlineStr">
        <is>
          <t>山區果園的意外，救援要多久</t>
        </is>
      </c>
      <c r="D202" s="7" t="inlineStr">
        <is>
          <t>現象觀察</t>
        </is>
      </c>
      <c r="E202" s="12" t="inlineStr">
        <is>
          <t>最後偵測位置</t>
        </is>
      </c>
      <c r="F202" s="8" t="inlineStr">
        <is>
          <t>縮小搜索範圍的價值</t>
        </is>
      </c>
      <c r="G202" s="7" t="inlineStr">
        <is>
          <t>Threads</t>
        </is>
      </c>
      <c r="H202" s="7" t="inlineStr">
        <is>
          <t>L1</t>
        </is>
      </c>
    </row>
    <row r="203">
      <c r="A203" s="10" t="inlineStr">
        <is>
          <t>C12-15</t>
        </is>
      </c>
      <c r="B203" s="10" t="inlineStr">
        <is>
          <t>C12 農林漁牧</t>
        </is>
      </c>
      <c r="C203" s="11" t="inlineStr">
        <is>
          <t>畜牧場的疫病防治與動線管理</t>
        </is>
      </c>
      <c r="D203" s="10" t="inlineStr">
        <is>
          <t>現象觀察</t>
        </is>
      </c>
      <c r="E203" s="12" t="inlineStr">
        <is>
          <t>區域管制</t>
        </is>
      </c>
      <c r="F203" s="11" t="inlineStr">
        <is>
          <t>生物安全的動線控制</t>
        </is>
      </c>
      <c r="G203" s="10" t="inlineStr">
        <is>
          <t>產業媒體</t>
        </is>
      </c>
      <c r="H203" s="10" t="inlineStr">
        <is>
          <t>L1</t>
        </is>
      </c>
    </row>
    <row r="204">
      <c r="A204" s="7" t="inlineStr">
        <is>
          <t>C12-16</t>
        </is>
      </c>
      <c r="B204" s="7" t="inlineStr">
        <is>
          <t>C12 農林漁牧</t>
        </is>
      </c>
      <c r="C204" s="8" t="inlineStr">
        <is>
          <t>農會與產銷班的數位化程度</t>
        </is>
      </c>
      <c r="D204" s="7" t="inlineStr">
        <is>
          <t>市場調查</t>
        </is>
      </c>
      <c r="E204" s="8" t="inlineStr">
        <is>
          <t>—</t>
        </is>
      </c>
      <c r="F204" s="8" t="inlineStr">
        <is>
          <t>基層數位落差</t>
        </is>
      </c>
      <c r="G204" s="7" t="inlineStr">
        <is>
          <t>產業媒體</t>
        </is>
      </c>
      <c r="H204" s="7" t="inlineStr">
        <is>
          <t>L0</t>
        </is>
      </c>
    </row>
    <row r="205">
      <c r="A205" s="10" t="inlineStr">
        <is>
          <t>C12-17</t>
        </is>
      </c>
      <c r="B205" s="10" t="inlineStr">
        <is>
          <t>C12 農林漁牧</t>
        </is>
      </c>
      <c r="C205" s="11" t="inlineStr">
        <is>
          <t>如果每一箱農產都有溫度履歷</t>
        </is>
      </c>
      <c r="D205" s="10" t="inlineStr">
        <is>
          <t>跨界類比</t>
        </is>
      </c>
      <c r="E205" s="12" t="inlineStr">
        <is>
          <t>溫度與位置同軸</t>
        </is>
      </c>
      <c r="F205" s="11" t="inlineStr">
        <is>
          <t>同一顆標籤的農業版本</t>
        </is>
      </c>
      <c r="G205" s="10" t="inlineStr">
        <is>
          <t>產業媒體</t>
        </is>
      </c>
      <c r="H205" s="10" t="inlineStr">
        <is>
          <t>L2</t>
        </is>
      </c>
    </row>
    <row r="206">
      <c r="A206" s="7" t="inlineStr">
        <is>
          <t>C13-01</t>
        </is>
      </c>
      <c r="B206" s="7" t="inlineStr">
        <is>
          <t>C13 診所藥局與醫療周邊</t>
        </is>
      </c>
      <c r="C206" s="8" t="inlineStr">
        <is>
          <t>藥局的冷藏藥品，溫度怎麼管</t>
        </is>
      </c>
      <c r="D206" s="7" t="inlineStr">
        <is>
          <t>現象觀察</t>
        </is>
      </c>
      <c r="E206" s="12" t="inlineStr">
        <is>
          <t>data logger｜GDP 規範</t>
        </is>
      </c>
      <c r="F206" s="8" t="inlineStr">
        <is>
          <t>法規驅動的溫控需求</t>
        </is>
      </c>
      <c r="G206" s="7" t="inlineStr">
        <is>
          <t>產業媒體</t>
        </is>
      </c>
      <c r="H206" s="7" t="inlineStr">
        <is>
          <t>L1</t>
        </is>
      </c>
    </row>
    <row r="207">
      <c r="A207" s="10" t="inlineStr">
        <is>
          <t>C13-02</t>
        </is>
      </c>
      <c r="B207" s="10" t="inlineStr">
        <is>
          <t>C13 診所藥局與醫療周邊</t>
        </is>
      </c>
      <c r="C207" s="11" t="inlineStr">
        <is>
          <t>診所的儀器借用，也會找不到</t>
        </is>
      </c>
      <c r="D207" s="10" t="inlineStr">
        <is>
          <t>現象觀察</t>
        </is>
      </c>
      <c r="E207" s="12" t="inlineStr">
        <is>
          <t>BLE 資產標籤</t>
        </is>
      </c>
      <c r="F207" s="11" t="inlineStr">
        <is>
          <t>小型醫療機構的資產管理</t>
        </is>
      </c>
      <c r="G207" s="10" t="inlineStr">
        <is>
          <t>產業媒體</t>
        </is>
      </c>
      <c r="H207" s="10" t="inlineStr">
        <is>
          <t>L1</t>
        </is>
      </c>
    </row>
    <row r="208">
      <c r="A208" s="7" t="inlineStr">
        <is>
          <t>C13-03</t>
        </is>
      </c>
      <c r="B208" s="7" t="inlineStr">
        <is>
          <t>C13 診所藥局與醫療周邊</t>
        </is>
      </c>
      <c r="C208" s="8" t="inlineStr">
        <is>
          <t>疫苗冰箱斷電，多久會有人知道</t>
        </is>
      </c>
      <c r="D208" s="7" t="inlineStr">
        <is>
          <t>現象觀察</t>
        </is>
      </c>
      <c r="E208" s="12" t="inlineStr">
        <is>
          <t>溫度告警</t>
        </is>
      </c>
      <c r="F208" s="8" t="inlineStr">
        <is>
          <t>異常通知的時效價值</t>
        </is>
      </c>
      <c r="G208" s="7" t="inlineStr">
        <is>
          <t>產業媒體</t>
        </is>
      </c>
      <c r="H208" s="7" t="inlineStr">
        <is>
          <t>L1</t>
        </is>
      </c>
    </row>
    <row r="209">
      <c r="A209" s="10" t="inlineStr">
        <is>
          <t>C13-04</t>
        </is>
      </c>
      <c r="B209" s="10" t="inlineStr">
        <is>
          <t>C13 診所藥局與醫療周邊</t>
        </is>
      </c>
      <c r="C209" s="11" t="inlineStr">
        <is>
          <t>洗腎中心的病患動線</t>
        </is>
      </c>
      <c r="D209" s="10" t="inlineStr">
        <is>
          <t>現象觀察</t>
        </is>
      </c>
      <c r="E209" s="12" t="inlineStr">
        <is>
          <t>區域判讀</t>
        </is>
      </c>
      <c r="F209" s="11" t="inlineStr">
        <is>
          <t>定期回診場域的管理</t>
        </is>
      </c>
      <c r="G209" s="10" t="inlineStr">
        <is>
          <t>產業媒體</t>
        </is>
      </c>
      <c r="H209" s="10" t="inlineStr">
        <is>
          <t>L1</t>
        </is>
      </c>
    </row>
    <row r="210">
      <c r="A210" s="7" t="inlineStr">
        <is>
          <t>C13-05</t>
        </is>
      </c>
      <c r="B210" s="7" t="inlineStr">
        <is>
          <t>C13 診所藥局與醫療周邊</t>
        </is>
      </c>
      <c r="C210" s="8" t="inlineStr">
        <is>
          <t>居家醫療訪視，路線怎麼排</t>
        </is>
      </c>
      <c r="D210" s="7" t="inlineStr">
        <is>
          <t>現象觀察</t>
        </is>
      </c>
      <c r="E210" s="12" t="inlineStr">
        <is>
          <t>派遣最佳化</t>
        </is>
      </c>
      <c r="F210" s="8" t="inlineStr">
        <is>
          <t>行動醫療的調度</t>
        </is>
      </c>
      <c r="G210" s="7" t="inlineStr">
        <is>
          <t>產業媒體</t>
        </is>
      </c>
      <c r="H210" s="7" t="inlineStr">
        <is>
          <t>L1</t>
        </is>
      </c>
    </row>
    <row r="211">
      <c r="A211" s="10" t="inlineStr">
        <is>
          <t>C13-06</t>
        </is>
      </c>
      <c r="B211" s="10" t="inlineStr">
        <is>
          <t>C13 診所藥局與醫療周邊</t>
        </is>
      </c>
      <c r="C211" s="11" t="inlineStr">
        <is>
          <t>藥師一天被問幾次輔具問題</t>
        </is>
      </c>
      <c r="D211" s="10" t="inlineStr">
        <is>
          <t>問卷調查</t>
        </is>
      </c>
      <c r="E211" s="11" t="inlineStr">
        <is>
          <t>—</t>
        </is>
      </c>
      <c r="F211" s="11" t="inlineStr">
        <is>
          <t>通路端的真實工作樣貌</t>
        </is>
      </c>
      <c r="G211" s="10" t="inlineStr">
        <is>
          <t>產業媒體</t>
        </is>
      </c>
      <c r="H211" s="10" t="inlineStr">
        <is>
          <t>L1</t>
        </is>
      </c>
    </row>
    <row r="212">
      <c r="A212" s="7" t="inlineStr">
        <is>
          <t>C13-07</t>
        </is>
      </c>
      <c r="B212" s="7" t="inlineStr">
        <is>
          <t>C13 診所藥局與醫療周邊</t>
        </is>
      </c>
      <c r="C212" s="8" t="inlineStr">
        <is>
          <t>長照特約藥局，跟一般藥局差在哪</t>
        </is>
      </c>
      <c r="D212" s="7" t="inlineStr">
        <is>
          <t>市場調查</t>
        </is>
      </c>
      <c r="E212" s="8" t="inlineStr">
        <is>
          <t>—</t>
        </is>
      </c>
      <c r="F212" s="8" t="inlineStr">
        <is>
          <t>通路資格的科普</t>
        </is>
      </c>
      <c r="G212" s="7" t="inlineStr">
        <is>
          <t>產業媒體</t>
        </is>
      </c>
      <c r="H212" s="7" t="inlineStr">
        <is>
          <t>L1</t>
        </is>
      </c>
    </row>
    <row r="213">
      <c r="A213" s="10" t="inlineStr">
        <is>
          <t>C13-08</t>
        </is>
      </c>
      <c r="B213" s="10" t="inlineStr">
        <is>
          <t>C13 診所藥局與醫療周邊</t>
        </is>
      </c>
      <c r="C213" s="11" t="inlineStr">
        <is>
          <t>檢體從診所送到實驗室，中間幾度</t>
        </is>
      </c>
      <c r="D213" s="10" t="inlineStr">
        <is>
          <t>現象觀察</t>
        </is>
      </c>
      <c r="E213" s="12" t="inlineStr">
        <is>
          <t>BLE 溫度標籤</t>
        </is>
      </c>
      <c r="F213" s="11" t="inlineStr">
        <is>
          <t>檢體運送的溫控斷點</t>
        </is>
      </c>
      <c r="G213" s="10" t="inlineStr">
        <is>
          <t>產業媒體</t>
        </is>
      </c>
      <c r="H213" s="10" t="inlineStr">
        <is>
          <t>L2</t>
        </is>
      </c>
    </row>
    <row r="214">
      <c r="A214" s="7" t="inlineStr">
        <is>
          <t>C13-09</t>
        </is>
      </c>
      <c r="B214" s="7" t="inlineStr">
        <is>
          <t>C13 診所藥局與醫療周邊</t>
        </is>
      </c>
      <c r="C214" s="8" t="inlineStr">
        <is>
          <t>復健科的器材使用率</t>
        </is>
      </c>
      <c r="D214" s="7" t="inlineStr">
        <is>
          <t>現象觀察</t>
        </is>
      </c>
      <c r="E214" s="12" t="inlineStr">
        <is>
          <t>資產使用率分析</t>
        </is>
      </c>
      <c r="F214" s="8" t="inlineStr">
        <is>
          <t>採購決策的資料支撐</t>
        </is>
      </c>
      <c r="G214" s="7" t="inlineStr">
        <is>
          <t>產業媒體</t>
        </is>
      </c>
      <c r="H214" s="7" t="inlineStr">
        <is>
          <t>L1</t>
        </is>
      </c>
    </row>
    <row r="215">
      <c r="A215" s="10" t="inlineStr">
        <is>
          <t>C13-10</t>
        </is>
      </c>
      <c r="B215" s="10" t="inlineStr">
        <is>
          <t>C13 診所藥局與醫療周邊</t>
        </is>
      </c>
      <c r="C215" s="11" t="inlineStr">
        <is>
          <t>健檢中心的受檢者，怎麼不迷路</t>
        </is>
      </c>
      <c r="D215" s="10" t="inlineStr">
        <is>
          <t>現象觀察</t>
        </is>
      </c>
      <c r="E215" s="12" t="inlineStr">
        <is>
          <t>室內導航｜區域定位</t>
        </is>
      </c>
      <c r="F215" s="11" t="inlineStr">
        <is>
          <t>大型院所的導引需求</t>
        </is>
      </c>
      <c r="G215" s="10" t="inlineStr">
        <is>
          <t>產業媒體</t>
        </is>
      </c>
      <c r="H215" s="10" t="inlineStr">
        <is>
          <t>L1</t>
        </is>
      </c>
    </row>
    <row r="216">
      <c r="A216" s="7" t="inlineStr">
        <is>
          <t>C13-11</t>
        </is>
      </c>
      <c r="B216" s="7" t="inlineStr">
        <is>
          <t>C13 診所藥局與醫療周邊</t>
        </is>
      </c>
      <c r="C216" s="8" t="inlineStr">
        <is>
          <t>長照給付的輔具，藥局怎麼進貨</t>
        </is>
      </c>
      <c r="D216" s="7" t="inlineStr">
        <is>
          <t>市場調查</t>
        </is>
      </c>
      <c r="E216" s="8" t="inlineStr">
        <is>
          <t>—</t>
        </is>
      </c>
      <c r="F216" s="8" t="inlineStr">
        <is>
          <t>通路端的供應鏈</t>
        </is>
      </c>
      <c r="G216" s="7" t="inlineStr">
        <is>
          <t>產業媒體</t>
        </is>
      </c>
      <c r="H216" s="7" t="inlineStr">
        <is>
          <t>L1</t>
        </is>
      </c>
    </row>
    <row r="217">
      <c r="A217" s="10" t="inlineStr">
        <is>
          <t>C13-12</t>
        </is>
      </c>
      <c r="B217" s="10" t="inlineStr">
        <is>
          <t>C13 診所藥局與醫療周邊</t>
        </is>
      </c>
      <c r="C217" s="11" t="inlineStr">
        <is>
          <t>醫材查驗登記字號，你會查嗎</t>
        </is>
      </c>
      <c r="D217" s="10" t="inlineStr">
        <is>
          <t>冷知識</t>
        </is>
      </c>
      <c r="E217" s="12" t="inlineStr">
        <is>
          <t>法規查證</t>
        </is>
      </c>
      <c r="F217" s="11" t="inlineStr">
        <is>
          <t>教讀者自己查證</t>
        </is>
      </c>
      <c r="G217" s="10" t="inlineStr">
        <is>
          <t>部落格</t>
        </is>
      </c>
      <c r="H217" s="10" t="inlineStr">
        <is>
          <t>L2</t>
        </is>
      </c>
    </row>
    <row r="218">
      <c r="A218" s="7" t="inlineStr">
        <is>
          <t>C13-13</t>
        </is>
      </c>
      <c r="B218" s="7" t="inlineStr">
        <is>
          <t>C13 診所藥局與醫療周邊</t>
        </is>
      </c>
      <c r="C218" s="8" t="inlineStr">
        <is>
          <t>居家護理師的安全，誰在顧</t>
        </is>
      </c>
      <c r="D218" s="7" t="inlineStr">
        <is>
          <t>社會現狀</t>
        </is>
      </c>
      <c r="E218" s="12" t="inlineStr">
        <is>
          <t>單獨作業告警</t>
        </is>
      </c>
      <c r="F218" s="8" t="inlineStr">
        <is>
          <t>行動工作者的人身安全</t>
        </is>
      </c>
      <c r="G218" s="7" t="inlineStr">
        <is>
          <t>產業媒體</t>
        </is>
      </c>
      <c r="H218" s="7" t="inlineStr">
        <is>
          <t>L1</t>
        </is>
      </c>
    </row>
    <row r="219">
      <c r="A219" s="10" t="inlineStr">
        <is>
          <t>C13-14</t>
        </is>
      </c>
      <c r="B219" s="10" t="inlineStr">
        <is>
          <t>C13 診所藥局與醫療周邊</t>
        </is>
      </c>
      <c r="C219" s="11" t="inlineStr">
        <is>
          <t>診所的失智篩檢，做得多嗎</t>
        </is>
      </c>
      <c r="D219" s="10" t="inlineStr">
        <is>
          <t>市場調查</t>
        </is>
      </c>
      <c r="E219" s="11" t="inlineStr">
        <is>
          <t>—</t>
        </is>
      </c>
      <c r="F219" s="11" t="inlineStr">
        <is>
          <t>早期發現與介入時機</t>
        </is>
      </c>
      <c r="G219" s="10" t="inlineStr">
        <is>
          <t>產業媒體</t>
        </is>
      </c>
      <c r="H219" s="10" t="inlineStr">
        <is>
          <t>L0</t>
        </is>
      </c>
    </row>
    <row r="220">
      <c r="A220" s="7" t="inlineStr">
        <is>
          <t>C13-15</t>
        </is>
      </c>
      <c r="B220" s="7" t="inlineStr">
        <is>
          <t>C13 診所藥局與醫療周邊</t>
        </is>
      </c>
      <c r="C220" s="8" t="inlineStr">
        <is>
          <t>藥品回收，追得到哪一批嗎</t>
        </is>
      </c>
      <c r="D220" s="7" t="inlineStr">
        <is>
          <t>現象觀察</t>
        </is>
      </c>
      <c r="E220" s="12" t="inlineStr">
        <is>
          <t>批號與序號追溯</t>
        </is>
      </c>
      <c r="F220" s="8" t="inlineStr">
        <is>
          <t>追溯能力的實際考驗</t>
        </is>
      </c>
      <c r="G220" s="7" t="inlineStr">
        <is>
          <t>產業媒體</t>
        </is>
      </c>
      <c r="H220" s="7" t="inlineStr">
        <is>
          <t>L1</t>
        </is>
      </c>
    </row>
    <row r="221">
      <c r="A221" s="10" t="inlineStr">
        <is>
          <t>C13-16</t>
        </is>
      </c>
      <c r="B221" s="10" t="inlineStr">
        <is>
          <t>C13 診所藥局與醫療周邊</t>
        </is>
      </c>
      <c r="C221" s="11" t="inlineStr">
        <is>
          <t>預約掛號到實際看診，落差多久</t>
        </is>
      </c>
      <c r="D221" s="10" t="inlineStr">
        <is>
          <t>市場調查</t>
        </is>
      </c>
      <c r="E221" s="12" t="inlineStr">
        <is>
          <t>時間資料</t>
        </is>
      </c>
      <c r="F221" s="11" t="inlineStr">
        <is>
          <t>流程資料化的價值</t>
        </is>
      </c>
      <c r="G221" s="10" t="inlineStr">
        <is>
          <t>Threads</t>
        </is>
      </c>
      <c r="H221" s="10" t="inlineStr">
        <is>
          <t>L0</t>
        </is>
      </c>
    </row>
    <row r="222">
      <c r="A222" s="7" t="inlineStr">
        <is>
          <t>C13-17</t>
        </is>
      </c>
      <c r="B222" s="7" t="inlineStr">
        <is>
          <t>C13 診所藥局與醫療周邊</t>
        </is>
      </c>
      <c r="C222" s="8" t="inlineStr">
        <is>
          <t>藥局如果變成照顧資源的入口</t>
        </is>
      </c>
      <c r="D222" s="7" t="inlineStr">
        <is>
          <t>跨界類比</t>
        </is>
      </c>
      <c r="E222" s="12" t="inlineStr">
        <is>
          <t>轉介節點</t>
        </is>
      </c>
      <c r="F222" s="8" t="inlineStr">
        <is>
          <t>通路的角色升級</t>
        </is>
      </c>
      <c r="G222" s="7" t="inlineStr">
        <is>
          <t>產業媒體</t>
        </is>
      </c>
      <c r="H222" s="7" t="inlineStr">
        <is>
          <t>L2</t>
        </is>
      </c>
    </row>
    <row r="223">
      <c r="A223" s="10" t="inlineStr">
        <is>
          <t>C14-01</t>
        </is>
      </c>
      <c r="B223" s="10" t="inlineStr">
        <is>
          <t>C14 美業與個人服務</t>
        </is>
      </c>
      <c r="C223" s="11" t="inlineStr">
        <is>
          <t>美髮沙龍的設備與工具管理</t>
        </is>
      </c>
      <c r="D223" s="10" t="inlineStr">
        <is>
          <t>現象觀察</t>
        </is>
      </c>
      <c r="E223" s="12" t="inlineStr">
        <is>
          <t>BLE 標籤</t>
        </is>
      </c>
      <c r="F223" s="11" t="inlineStr">
        <is>
          <t>微型服務業的資產</t>
        </is>
      </c>
      <c r="G223" s="10" t="inlineStr">
        <is>
          <t>產業媒體</t>
        </is>
      </c>
      <c r="H223" s="10" t="inlineStr">
        <is>
          <t>L0</t>
        </is>
      </c>
    </row>
    <row r="224">
      <c r="A224" s="7" t="inlineStr">
        <is>
          <t>C14-02</t>
        </is>
      </c>
      <c r="B224" s="7" t="inlineStr">
        <is>
          <t>C14 美業與個人服務</t>
        </is>
      </c>
      <c r="C224" s="8" t="inlineStr">
        <is>
          <t>到府服務人員的安全，誰在乎</t>
        </is>
      </c>
      <c r="D224" s="7" t="inlineStr">
        <is>
          <t>社會現狀</t>
        </is>
      </c>
      <c r="E224" s="12" t="inlineStr">
        <is>
          <t>單獨作業告警</t>
        </is>
      </c>
      <c r="F224" s="8" t="inlineStr">
        <is>
          <t>行動服務業的人身風險</t>
        </is>
      </c>
      <c r="G224" s="7" t="inlineStr">
        <is>
          <t>Threads</t>
        </is>
      </c>
      <c r="H224" s="7" t="inlineStr">
        <is>
          <t>L1</t>
        </is>
      </c>
    </row>
    <row r="225">
      <c r="A225" s="10" t="inlineStr">
        <is>
          <t>C14-03</t>
        </is>
      </c>
      <c r="B225" s="10" t="inlineStr">
        <is>
          <t>C14 美業與個人服務</t>
        </is>
      </c>
      <c r="C225" s="11" t="inlineStr">
        <is>
          <t>按摩與 SPA 的高齡客人，風險在哪</t>
        </is>
      </c>
      <c r="D225" s="10" t="inlineStr">
        <is>
          <t>現象觀察</t>
        </is>
      </c>
      <c r="E225" s="12" t="inlineStr">
        <is>
          <t>久未移動偵測</t>
        </is>
      </c>
      <c r="F225" s="11" t="inlineStr">
        <is>
          <t>封閉空間的異常偵測</t>
        </is>
      </c>
      <c r="G225" s="10" t="inlineStr">
        <is>
          <t>產業媒體</t>
        </is>
      </c>
      <c r="H225" s="10" t="inlineStr">
        <is>
          <t>L1</t>
        </is>
      </c>
    </row>
    <row r="226">
      <c r="A226" s="7" t="inlineStr">
        <is>
          <t>C14-04</t>
        </is>
      </c>
      <c r="B226" s="7" t="inlineStr">
        <is>
          <t>C14 美業與個人服務</t>
        </is>
      </c>
      <c r="C226" s="8" t="inlineStr">
        <is>
          <t>美甲師與美容師的職業傷害</t>
        </is>
      </c>
      <c r="D226" s="7" t="inlineStr">
        <is>
          <t>市場調查</t>
        </is>
      </c>
      <c r="E226" s="8" t="inlineStr">
        <is>
          <t>—</t>
        </is>
      </c>
      <c r="F226" s="8" t="inlineStr">
        <is>
          <t>服務業的職場議題</t>
        </is>
      </c>
      <c r="G226" s="7" t="inlineStr">
        <is>
          <t>Threads</t>
        </is>
      </c>
      <c r="H226" s="7" t="inlineStr">
        <is>
          <t>L0</t>
        </is>
      </c>
    </row>
    <row r="227">
      <c r="A227" s="10" t="inlineStr">
        <is>
          <t>C14-05</t>
        </is>
      </c>
      <c r="B227" s="10" t="inlineStr">
        <is>
          <t>C14 美業與個人服務</t>
        </is>
      </c>
      <c r="C227" s="11" t="inlineStr">
        <is>
          <t>家事服務員的行程與工時</t>
        </is>
      </c>
      <c r="D227" s="10" t="inlineStr">
        <is>
          <t>現象觀察</t>
        </is>
      </c>
      <c r="E227" s="12" t="inlineStr">
        <is>
          <t>派遣與紀錄</t>
        </is>
      </c>
      <c r="F227" s="11" t="inlineStr">
        <is>
          <t>到府服務的工時舉證</t>
        </is>
      </c>
      <c r="G227" s="10" t="inlineStr">
        <is>
          <t>產業媒體</t>
        </is>
      </c>
      <c r="H227" s="10" t="inlineStr">
        <is>
          <t>L1</t>
        </is>
      </c>
    </row>
    <row r="228">
      <c r="A228" s="7" t="inlineStr">
        <is>
          <t>C14-06</t>
        </is>
      </c>
      <c r="B228" s="7" t="inlineStr">
        <is>
          <t>C14 美業與個人服務</t>
        </is>
      </c>
      <c r="C228" s="8" t="inlineStr">
        <is>
          <t>銀髮理髮到宅服務，怎麼排</t>
        </is>
      </c>
      <c r="D228" s="7" t="inlineStr">
        <is>
          <t>現象觀察</t>
        </is>
      </c>
      <c r="E228" s="12" t="inlineStr">
        <is>
          <t>路線最佳化</t>
        </is>
      </c>
      <c r="F228" s="8" t="inlineStr">
        <is>
          <t>高齡到宅服務的調度</t>
        </is>
      </c>
      <c r="G228" s="7" t="inlineStr">
        <is>
          <t>產業媒體</t>
        </is>
      </c>
      <c r="H228" s="7" t="inlineStr">
        <is>
          <t>L1</t>
        </is>
      </c>
    </row>
    <row r="229">
      <c r="A229" s="10" t="inlineStr">
        <is>
          <t>C14-07</t>
        </is>
      </c>
      <c r="B229" s="10" t="inlineStr">
        <is>
          <t>C14 美業與個人服務</t>
        </is>
      </c>
      <c r="C229" s="11" t="inlineStr">
        <is>
          <t>個人工作室的營業資產怎麼保</t>
        </is>
      </c>
      <c r="D229" s="10" t="inlineStr">
        <is>
          <t>現象觀察</t>
        </is>
      </c>
      <c r="E229" s="12" t="inlineStr">
        <is>
          <t>BLE 標籤</t>
        </is>
      </c>
      <c r="F229" s="11" t="inlineStr">
        <is>
          <t>微型創業的資產保護</t>
        </is>
      </c>
      <c r="G229" s="10" t="inlineStr">
        <is>
          <t>Threads</t>
        </is>
      </c>
      <c r="H229" s="10" t="inlineStr">
        <is>
          <t>L0</t>
        </is>
      </c>
    </row>
    <row r="230">
      <c r="A230" s="7" t="inlineStr">
        <is>
          <t>C14-08</t>
        </is>
      </c>
      <c r="B230" s="7" t="inlineStr">
        <is>
          <t>C14 美業與個人服務</t>
        </is>
      </c>
      <c r="C230" s="8" t="inlineStr">
        <is>
          <t>客人把東西忘在店裡，怎麼還</t>
        </is>
      </c>
      <c r="D230" s="7" t="inlineStr">
        <is>
          <t>現象觀察</t>
        </is>
      </c>
      <c r="E230" s="12" t="inlineStr">
        <is>
          <t>失物流程</t>
        </is>
      </c>
      <c r="F230" s="8" t="inlineStr">
        <is>
          <t>日常遺失的處理</t>
        </is>
      </c>
      <c r="G230" s="7" t="inlineStr">
        <is>
          <t>Threads</t>
        </is>
      </c>
      <c r="H230" s="7" t="inlineStr">
        <is>
          <t>L0</t>
        </is>
      </c>
    </row>
    <row r="231">
      <c r="A231" s="10" t="inlineStr">
        <is>
          <t>C14-09</t>
        </is>
      </c>
      <c r="B231" s="10" t="inlineStr">
        <is>
          <t>C14 美業與個人服務</t>
        </is>
      </c>
      <c r="C231" s="11" t="inlineStr">
        <is>
          <t>接送客人的車輛管理</t>
        </is>
      </c>
      <c r="D231" s="10" t="inlineStr">
        <is>
          <t>現象觀察</t>
        </is>
      </c>
      <c r="E231" s="12" t="inlineStr">
        <is>
          <t>GNSS 車輛追蹤</t>
        </is>
      </c>
      <c r="F231" s="11" t="inlineStr">
        <is>
          <t>小型車隊的管理</t>
        </is>
      </c>
      <c r="G231" s="10" t="inlineStr">
        <is>
          <t>產業媒體</t>
        </is>
      </c>
      <c r="H231" s="10" t="inlineStr">
        <is>
          <t>L1</t>
        </is>
      </c>
    </row>
    <row r="232">
      <c r="A232" s="7" t="inlineStr">
        <is>
          <t>C14-10</t>
        </is>
      </c>
      <c r="B232" s="7" t="inlineStr">
        <is>
          <t>C14 美業與個人服務</t>
        </is>
      </c>
      <c r="C232" s="8" t="inlineStr">
        <is>
          <t>美業的高齡客群，佔比多少</t>
        </is>
      </c>
      <c r="D232" s="7" t="inlineStr">
        <is>
          <t>市場調查</t>
        </is>
      </c>
      <c r="E232" s="8" t="inlineStr">
        <is>
          <t>—</t>
        </is>
      </c>
      <c r="F232" s="8" t="inlineStr">
        <is>
          <t>高齡消費市場的規模</t>
        </is>
      </c>
      <c r="G232" s="7" t="inlineStr">
        <is>
          <t>產業媒體</t>
        </is>
      </c>
      <c r="H232" s="7" t="inlineStr">
        <is>
          <t>L0</t>
        </is>
      </c>
    </row>
    <row r="233">
      <c r="A233" s="10" t="inlineStr">
        <is>
          <t>C14-11</t>
        </is>
      </c>
      <c r="B233" s="10" t="inlineStr">
        <is>
          <t>C14 美業與個人服務</t>
        </is>
      </c>
      <c r="C233" s="11" t="inlineStr">
        <is>
          <t>到宅沐浴車的路線與時間</t>
        </is>
      </c>
      <c r="D233" s="10" t="inlineStr">
        <is>
          <t>現象觀察</t>
        </is>
      </c>
      <c r="E233" s="12" t="inlineStr">
        <is>
          <t>派遣系統</t>
        </is>
      </c>
      <c r="F233" s="11" t="inlineStr">
        <is>
          <t>長照服務的移動段</t>
        </is>
      </c>
      <c r="G233" s="10" t="inlineStr">
        <is>
          <t>產業媒體</t>
        </is>
      </c>
      <c r="H233" s="10" t="inlineStr">
        <is>
          <t>L1</t>
        </is>
      </c>
    </row>
    <row r="234">
      <c r="A234" s="7" t="inlineStr">
        <is>
          <t>C14-12</t>
        </is>
      </c>
      <c r="B234" s="7" t="inlineStr">
        <is>
          <t>C14 美業與個人服務</t>
        </is>
      </c>
      <c r="C234" s="8" t="inlineStr">
        <is>
          <t>一對一服務的信任，怎麼建立</t>
        </is>
      </c>
      <c r="D234" s="7" t="inlineStr">
        <is>
          <t>社會現狀</t>
        </is>
      </c>
      <c r="E234" s="12" t="inlineStr">
        <is>
          <t>紀錄可追溯</t>
        </is>
      </c>
      <c r="F234" s="8" t="inlineStr">
        <is>
          <t>紀錄即信任</t>
        </is>
      </c>
      <c r="G234" s="7" t="inlineStr">
        <is>
          <t>Threads</t>
        </is>
      </c>
      <c r="H234" s="7" t="inlineStr">
        <is>
          <t>L0</t>
        </is>
      </c>
    </row>
    <row r="235">
      <c r="A235" s="10" t="inlineStr">
        <is>
          <t>C14-13</t>
        </is>
      </c>
      <c r="B235" s="10" t="inlineStr">
        <is>
          <t>C14 美業與個人服務</t>
        </is>
      </c>
      <c r="C235" s="11" t="inlineStr">
        <is>
          <t>服務業的交班，跟醫護有什麼共通</t>
        </is>
      </c>
      <c r="D235" s="10" t="inlineStr">
        <is>
          <t>跨界類比</t>
        </is>
      </c>
      <c r="E235" s="12" t="inlineStr">
        <is>
          <t>交班紀錄</t>
        </is>
      </c>
      <c r="F235" s="11" t="inlineStr">
        <is>
          <t>交班空白的普遍性</t>
        </is>
      </c>
      <c r="G235" s="10" t="inlineStr">
        <is>
          <t>產業媒體</t>
        </is>
      </c>
      <c r="H235" s="10" t="inlineStr">
        <is>
          <t>L1</t>
        </is>
      </c>
    </row>
    <row r="236">
      <c r="A236" s="7" t="inlineStr">
        <is>
          <t>C14-14</t>
        </is>
      </c>
      <c r="B236" s="7" t="inlineStr">
        <is>
          <t>C14 美業與個人服務</t>
        </is>
      </c>
      <c r="C236" s="8" t="inlineStr">
        <is>
          <t>如果每次到府都有自動時間戳記</t>
        </is>
      </c>
      <c r="D236" s="7" t="inlineStr">
        <is>
          <t>跨界類比</t>
        </is>
      </c>
      <c r="E236" s="12" t="inlineStr">
        <is>
          <t>自動事件紀錄</t>
        </is>
      </c>
      <c r="F236" s="8" t="inlineStr">
        <is>
          <t>零操作紀錄的價值</t>
        </is>
      </c>
      <c r="G236" s="7" t="inlineStr">
        <is>
          <t>產業媒體</t>
        </is>
      </c>
      <c r="H236" s="7" t="inlineStr">
        <is>
          <t>L2</t>
        </is>
      </c>
    </row>
    <row r="237">
      <c r="A237" s="10" t="inlineStr">
        <is>
          <t>C14-15</t>
        </is>
      </c>
      <c r="B237" s="10" t="inlineStr">
        <is>
          <t>C14 美業與個人服務</t>
        </is>
      </c>
      <c r="C237" s="11" t="inlineStr">
        <is>
          <t>高齡客人在店內跌倒的責任</t>
        </is>
      </c>
      <c r="D237" s="10" t="inlineStr">
        <is>
          <t>社會現狀</t>
        </is>
      </c>
      <c r="E237" s="12" t="inlineStr">
        <is>
          <t>事件紀錄</t>
        </is>
      </c>
      <c r="F237" s="11" t="inlineStr">
        <is>
          <t>責任認定與舉證</t>
        </is>
      </c>
      <c r="G237" s="10" t="inlineStr">
        <is>
          <t>Threads</t>
        </is>
      </c>
      <c r="H237" s="10" t="inlineStr">
        <is>
          <t>L1</t>
        </is>
      </c>
    </row>
    <row r="238">
      <c r="A238" s="7" t="inlineStr">
        <is>
          <t>C14-16</t>
        </is>
      </c>
      <c r="B238" s="7" t="inlineStr">
        <is>
          <t>C14 美業與個人服務</t>
        </is>
      </c>
      <c r="C238" s="8" t="inlineStr">
        <is>
          <t>預約爽約率，能不能降低</t>
        </is>
      </c>
      <c r="D238" s="7" t="inlineStr">
        <is>
          <t>市場調查</t>
        </is>
      </c>
      <c r="E238" s="12" t="inlineStr">
        <is>
          <t>提醒機制</t>
        </is>
      </c>
      <c r="F238" s="8" t="inlineStr">
        <is>
          <t>行為資料的應用</t>
        </is>
      </c>
      <c r="G238" s="7" t="inlineStr">
        <is>
          <t>Threads</t>
        </is>
      </c>
      <c r="H238" s="7" t="inlineStr">
        <is>
          <t>L0</t>
        </is>
      </c>
    </row>
    <row r="239">
      <c r="A239" s="10" t="inlineStr">
        <is>
          <t>C14-17</t>
        </is>
      </c>
      <c r="B239" s="10" t="inlineStr">
        <is>
          <t>C14 美業與個人服務</t>
        </is>
      </c>
      <c r="C239" s="11" t="inlineStr">
        <is>
          <t>服務人員的手機，能當接收器嗎</t>
        </is>
      </c>
      <c r="D239" s="10" t="inlineStr">
        <is>
          <t>跨界類比</t>
        </is>
      </c>
      <c r="E239" s="12" t="inlineStr">
        <is>
          <t>員工手機接收</t>
        </is>
      </c>
      <c r="F239" s="11" t="inlineStr">
        <is>
          <t>零硬體成本方案的延伸</t>
        </is>
      </c>
      <c r="G239" s="10" t="inlineStr">
        <is>
          <t>技術部落格</t>
        </is>
      </c>
      <c r="H239" s="10" t="inlineStr">
        <is>
          <t>L2</t>
        </is>
      </c>
    </row>
    <row r="240">
      <c r="A240" s="7" t="inlineStr">
        <is>
          <t>C15-01</t>
        </is>
      </c>
      <c r="B240" s="7" t="inlineStr">
        <is>
          <t>C15 汽機車與維修</t>
        </is>
      </c>
      <c r="C240" s="8" t="inlineStr">
        <is>
          <t>汽車鑰匙從實體到數位，經過什麼</t>
        </is>
      </c>
      <c r="D240" s="7" t="inlineStr">
        <is>
          <t>現象觀察</t>
        </is>
      </c>
      <c r="E240" s="12" t="inlineStr">
        <is>
          <t>UWB 數位鑰匙｜CCC Digital Key</t>
        </is>
      </c>
      <c r="F240" s="8" t="inlineStr">
        <is>
          <t>距離感知在車用的旗艦應用</t>
        </is>
      </c>
      <c r="G240" s="7" t="inlineStr">
        <is>
          <t>Mobile01／技術部落格</t>
        </is>
      </c>
      <c r="H240" s="7" t="inlineStr">
        <is>
          <t>L2</t>
        </is>
      </c>
    </row>
    <row r="241">
      <c r="A241" s="10" t="inlineStr">
        <is>
          <t>C15-02</t>
        </is>
      </c>
      <c r="B241" s="10" t="inlineStr">
        <is>
          <t>C15 汽機車與維修</t>
        </is>
      </c>
      <c r="C241" s="11" t="inlineStr">
        <is>
          <t>中繼攻擊是什麼，為什麼車廠在意</t>
        </is>
      </c>
      <c r="D241" s="10" t="inlineStr">
        <is>
          <t>冷知識</t>
        </is>
      </c>
      <c r="E241" s="12" t="inlineStr">
        <is>
          <t>BT Channel Sounding RTT 防中繼</t>
        </is>
      </c>
      <c r="F241" s="11" t="inlineStr">
        <is>
          <t>安全性設計的技術深度</t>
        </is>
      </c>
      <c r="G241" s="10" t="inlineStr">
        <is>
          <t>技術部落格</t>
        </is>
      </c>
      <c r="H241" s="10" t="inlineStr">
        <is>
          <t>L2</t>
        </is>
      </c>
    </row>
    <row r="242">
      <c r="A242" s="7" t="inlineStr">
        <is>
          <t>C15-03</t>
        </is>
      </c>
      <c r="B242" s="7" t="inlineStr">
        <is>
          <t>C15 汽機車與維修</t>
        </is>
      </c>
      <c r="C242" s="8" t="inlineStr">
        <is>
          <t>機車失竊後找回來的機率</t>
        </is>
      </c>
      <c r="D242" s="7" t="inlineStr">
        <is>
          <t>市場調查</t>
        </is>
      </c>
      <c r="E242" s="12" t="inlineStr">
        <is>
          <t>GPS 追蹤器</t>
        </is>
      </c>
      <c r="F242" s="8" t="inlineStr">
        <is>
          <t>高失竊品的追回現實</t>
        </is>
      </c>
      <c r="G242" s="7" t="inlineStr">
        <is>
          <t>Mobile01</t>
        </is>
      </c>
      <c r="H242" s="7" t="inlineStr">
        <is>
          <t>L1</t>
        </is>
      </c>
    </row>
    <row r="243">
      <c r="A243" s="10" t="inlineStr">
        <is>
          <t>C15-04</t>
        </is>
      </c>
      <c r="B243" s="10" t="inlineStr">
        <is>
          <t>C15 汽機車與維修</t>
        </is>
      </c>
      <c r="C243" s="11" t="inlineStr">
        <is>
          <t>修車廠的工具與零件管理</t>
        </is>
      </c>
      <c r="D243" s="10" t="inlineStr">
        <is>
          <t>現象觀察</t>
        </is>
      </c>
      <c r="E243" s="12" t="inlineStr">
        <is>
          <t>BLE 標籤</t>
        </is>
      </c>
      <c r="F243" s="11" t="inlineStr">
        <is>
          <t>維修業的資產流失</t>
        </is>
      </c>
      <c r="G243" s="10" t="inlineStr">
        <is>
          <t>產業媒體</t>
        </is>
      </c>
      <c r="H243" s="10" t="inlineStr">
        <is>
          <t>L1</t>
        </is>
      </c>
    </row>
    <row r="244">
      <c r="A244" s="7" t="inlineStr">
        <is>
          <t>C15-05</t>
        </is>
      </c>
      <c r="B244" s="7" t="inlineStr">
        <is>
          <t>C15 汽機車與維修</t>
        </is>
      </c>
      <c r="C244" s="8" t="inlineStr">
        <is>
          <t>行車紀錄器之外，還有什麼紀錄</t>
        </is>
      </c>
      <c r="D244" s="7" t="inlineStr">
        <is>
          <t>現象觀察</t>
        </is>
      </c>
      <c r="E244" s="12" t="inlineStr">
        <is>
          <t>GNSS 軌跡</t>
        </is>
      </c>
      <c r="F244" s="8" t="inlineStr">
        <is>
          <t>多重紀錄的舉證價值</t>
        </is>
      </c>
      <c r="G244" s="7" t="inlineStr">
        <is>
          <t>Mobile01</t>
        </is>
      </c>
      <c r="H244" s="7" t="inlineStr">
        <is>
          <t>L1</t>
        </is>
      </c>
    </row>
    <row r="245">
      <c r="A245" s="10" t="inlineStr">
        <is>
          <t>C15-06</t>
        </is>
      </c>
      <c r="B245" s="10" t="inlineStr">
        <is>
          <t>C15 汽機車與維修</t>
        </is>
      </c>
      <c r="C245" s="11" t="inlineStr">
        <is>
          <t>共享機車的調度，怎麼算最省</t>
        </is>
      </c>
      <c r="D245" s="10" t="inlineStr">
        <is>
          <t>現象觀察</t>
        </is>
      </c>
      <c r="E245" s="12" t="inlineStr">
        <is>
          <t>GNSS 調度</t>
        </is>
      </c>
      <c r="F245" s="11" t="inlineStr">
        <is>
          <t>共享經濟的定位核心</t>
        </is>
      </c>
      <c r="G245" s="10" t="inlineStr">
        <is>
          <t>技術部落格</t>
        </is>
      </c>
      <c r="H245" s="10" t="inlineStr">
        <is>
          <t>L1</t>
        </is>
      </c>
    </row>
    <row r="246">
      <c r="A246" s="7" t="inlineStr">
        <is>
          <t>C15-07</t>
        </is>
      </c>
      <c r="B246" s="7" t="inlineStr">
        <is>
          <t>C15 汽機車與維修</t>
        </is>
      </c>
      <c r="C246" s="8" t="inlineStr">
        <is>
          <t>停車場找不到車，一年浪費多少時間</t>
        </is>
      </c>
      <c r="D246" s="7" t="inlineStr">
        <is>
          <t>市場調查</t>
        </is>
      </c>
      <c r="E246" s="12" t="inlineStr">
        <is>
          <t>室內定位</t>
        </is>
      </c>
      <c r="F246" s="8" t="inlineStr">
        <is>
          <t>最直覺的定位痛點</t>
        </is>
      </c>
      <c r="G246" s="7" t="inlineStr">
        <is>
          <t>Threads</t>
        </is>
      </c>
      <c r="H246" s="7" t="inlineStr">
        <is>
          <t>L1</t>
        </is>
      </c>
    </row>
    <row r="247">
      <c r="A247" s="10" t="inlineStr">
        <is>
          <t>C15-08</t>
        </is>
      </c>
      <c r="B247" s="10" t="inlineStr">
        <is>
          <t>C15 汽機車與維修</t>
        </is>
      </c>
      <c r="C247" s="11" t="inlineStr">
        <is>
          <t>高齡駕駛的議題，該怎麼談</t>
        </is>
      </c>
      <c r="D247" s="10" t="inlineStr">
        <is>
          <t>社會現狀</t>
        </is>
      </c>
      <c r="E247" s="11" t="inlineStr">
        <is>
          <t>—</t>
        </is>
      </c>
      <c r="F247" s="11" t="inlineStr">
        <is>
          <t>高齡移動權與安全</t>
        </is>
      </c>
      <c r="G247" s="10" t="inlineStr">
        <is>
          <t>Threads</t>
        </is>
      </c>
      <c r="H247" s="10" t="inlineStr">
        <is>
          <t>L0</t>
        </is>
      </c>
    </row>
    <row r="248">
      <c r="A248" s="7" t="inlineStr">
        <is>
          <t>C15-09</t>
        </is>
      </c>
      <c r="B248" s="7" t="inlineStr">
        <is>
          <t>C15 汽機車與維修</t>
        </is>
      </c>
      <c r="C248" s="8" t="inlineStr">
        <is>
          <t>長輩騎車出門沒回家，怎麼找</t>
        </is>
      </c>
      <c r="D248" s="7" t="inlineStr">
        <is>
          <t>現象觀察</t>
        </is>
      </c>
      <c r="E248" s="12" t="inlineStr">
        <is>
          <t>群眾網路｜車載接收</t>
        </is>
      </c>
      <c r="F248" s="8" t="inlineStr">
        <is>
          <t>移動段的協尋</t>
        </is>
      </c>
      <c r="G248" s="7" t="inlineStr">
        <is>
          <t>FB 社團</t>
        </is>
      </c>
      <c r="H248" s="7" t="inlineStr">
        <is>
          <t>L1</t>
        </is>
      </c>
    </row>
    <row r="249">
      <c r="A249" s="10" t="inlineStr">
        <is>
          <t>C15-10</t>
        </is>
      </c>
      <c r="B249" s="10" t="inlineStr">
        <is>
          <t>C15 汽機車與維修</t>
        </is>
      </c>
      <c r="C249" s="11" t="inlineStr">
        <is>
          <t>車用電壓 8V-52V 是什麼意思</t>
        </is>
      </c>
      <c r="D249" s="10" t="inlineStr">
        <is>
          <t>冷知識</t>
        </is>
      </c>
      <c r="E249" s="12" t="inlineStr">
        <is>
          <t>車載閘道器供電規格</t>
        </is>
      </c>
      <c r="F249" s="11" t="inlineStr">
        <is>
          <t>技術規格的白話翻譯</t>
        </is>
      </c>
      <c r="G249" s="10" t="inlineStr">
        <is>
          <t>技術部落格</t>
        </is>
      </c>
      <c r="H249" s="10" t="inlineStr">
        <is>
          <t>L2</t>
        </is>
      </c>
    </row>
    <row r="250">
      <c r="A250" s="7" t="inlineStr">
        <is>
          <t>C15-11</t>
        </is>
      </c>
      <c r="B250" s="7" t="inlineStr">
        <is>
          <t>C15 汽機車與維修</t>
        </is>
      </c>
      <c r="C250" s="8" t="inlineStr">
        <is>
          <t>貨車司機的工時與休息，怎麼管</t>
        </is>
      </c>
      <c r="D250" s="7" t="inlineStr">
        <is>
          <t>現象觀察</t>
        </is>
      </c>
      <c r="E250" s="12" t="inlineStr">
        <is>
          <t>車輛與人員分離管理</t>
        </is>
      </c>
      <c r="F250" s="8" t="inlineStr">
        <is>
          <t>人車分離的管理需求</t>
        </is>
      </c>
      <c r="G250" s="7" t="inlineStr">
        <is>
          <t>產業媒體</t>
        </is>
      </c>
      <c r="H250" s="7" t="inlineStr">
        <is>
          <t>L1</t>
        </is>
      </c>
    </row>
    <row r="251">
      <c r="A251" s="10" t="inlineStr">
        <is>
          <t>C15-12</t>
        </is>
      </c>
      <c r="B251" s="10" t="inlineStr">
        <is>
          <t>C15 汽機車與維修</t>
        </is>
      </c>
      <c r="C251" s="11" t="inlineStr">
        <is>
          <t>保養通知，從里程到什麼</t>
        </is>
      </c>
      <c r="D251" s="10" t="inlineStr">
        <is>
          <t>現象觀察</t>
        </is>
      </c>
      <c r="E251" s="12" t="inlineStr">
        <is>
          <t>使用率資料</t>
        </is>
      </c>
      <c r="F251" s="11" t="inlineStr">
        <is>
          <t>預防保養的資料基礎</t>
        </is>
      </c>
      <c r="G251" s="10" t="inlineStr">
        <is>
          <t>產業媒體</t>
        </is>
      </c>
      <c r="H251" s="10" t="inlineStr">
        <is>
          <t>L1</t>
        </is>
      </c>
    </row>
    <row r="252">
      <c r="A252" s="7" t="inlineStr">
        <is>
          <t>C15-13</t>
        </is>
      </c>
      <c r="B252" s="7" t="inlineStr">
        <is>
          <t>C15 汽機車與維修</t>
        </is>
      </c>
      <c r="C252" s="8" t="inlineStr">
        <is>
          <t>隧道裡沒訊號，資料怎麼辦</t>
        </is>
      </c>
      <c r="D252" s="7" t="inlineStr">
        <is>
          <t>冷知識</t>
        </is>
      </c>
      <c r="E252" s="12" t="inlineStr">
        <is>
          <t>斷網快取與補傳</t>
        </is>
      </c>
      <c r="F252" s="8" t="inlineStr">
        <is>
          <t>技術限制的成熟解法</t>
        </is>
      </c>
      <c r="G252" s="7" t="inlineStr">
        <is>
          <t>技術部落格</t>
        </is>
      </c>
      <c r="H252" s="7" t="inlineStr">
        <is>
          <t>L2</t>
        </is>
      </c>
    </row>
    <row r="253">
      <c r="A253" s="10" t="inlineStr">
        <is>
          <t>C15-14</t>
        </is>
      </c>
      <c r="B253" s="10" t="inlineStr">
        <is>
          <t>C15 汽機車與維修</t>
        </is>
      </c>
      <c r="C253" s="11" t="inlineStr">
        <is>
          <t>車廂是金屬的，訊號進得去嗎</t>
        </is>
      </c>
      <c r="D253" s="10" t="inlineStr">
        <is>
          <t>冷知識</t>
        </is>
      </c>
      <c r="E253" s="12" t="inlineStr">
        <is>
          <t>車廂屏蔽與穿透設計</t>
        </is>
      </c>
      <c r="F253" s="11" t="inlineStr">
        <is>
          <t>高頻技術疑問</t>
        </is>
      </c>
      <c r="G253" s="10" t="inlineStr">
        <is>
          <t>技術部落格</t>
        </is>
      </c>
      <c r="H253" s="10" t="inlineStr">
        <is>
          <t>L2</t>
        </is>
      </c>
    </row>
    <row r="254">
      <c r="A254" s="7" t="inlineStr">
        <is>
          <t>C15-15</t>
        </is>
      </c>
      <c r="B254" s="7" t="inlineStr">
        <is>
          <t>C15 汽機車與維修</t>
        </is>
      </c>
      <c r="C254" s="8" t="inlineStr">
        <is>
          <t>車隊的路線偏離告警，實際有用嗎</t>
        </is>
      </c>
      <c r="D254" s="7" t="inlineStr">
        <is>
          <t>現象觀察</t>
        </is>
      </c>
      <c r="E254" s="12" t="inlineStr">
        <is>
          <t>地理圍欄告警</t>
        </is>
      </c>
      <c r="F254" s="8" t="inlineStr">
        <is>
          <t>告警設計的實務</t>
        </is>
      </c>
      <c r="G254" s="7" t="inlineStr">
        <is>
          <t>產業媒體</t>
        </is>
      </c>
      <c r="H254" s="7" t="inlineStr">
        <is>
          <t>L1</t>
        </is>
      </c>
    </row>
    <row r="255">
      <c r="A255" s="10" t="inlineStr">
        <is>
          <t>C15-16</t>
        </is>
      </c>
      <c r="B255" s="10" t="inlineStr">
        <is>
          <t>C15 汽機車與維修</t>
        </is>
      </c>
      <c r="C255" s="11" t="inlineStr">
        <is>
          <t>接送長輩的家用車，需要什麼</t>
        </is>
      </c>
      <c r="D255" s="10" t="inlineStr">
        <is>
          <t>跨界類比</t>
        </is>
      </c>
      <c r="E255" s="12" t="inlineStr">
        <is>
          <t>車載接收概念</t>
        </is>
      </c>
      <c r="F255" s="11" t="inlineStr">
        <is>
          <t>家庭場景的移動段</t>
        </is>
      </c>
      <c r="G255" s="10" t="inlineStr">
        <is>
          <t>Threads</t>
        </is>
      </c>
      <c r="H255" s="10" t="inlineStr">
        <is>
          <t>L1</t>
        </is>
      </c>
    </row>
    <row r="256">
      <c r="A256" s="7" t="inlineStr">
        <is>
          <t>C15-17</t>
        </is>
      </c>
      <c r="B256" s="7" t="inlineStr">
        <is>
          <t>C15 汽機車與維修</t>
        </is>
      </c>
      <c r="C256" s="8" t="inlineStr">
        <is>
          <t>汽車零件的序號追溯，做得到嗎</t>
        </is>
      </c>
      <c r="D256" s="7" t="inlineStr">
        <is>
          <t>現象觀察</t>
        </is>
      </c>
      <c r="E256" s="12" t="inlineStr">
        <is>
          <t>序號與履歷</t>
        </is>
      </c>
      <c r="F256" s="8" t="inlineStr">
        <is>
          <t>零件溯源的價值</t>
        </is>
      </c>
      <c r="G256" s="7" t="inlineStr">
        <is>
          <t>產業媒體</t>
        </is>
      </c>
      <c r="H256" s="7" t="inlineStr">
        <is>
          <t>L1</t>
        </is>
      </c>
    </row>
    <row r="257">
      <c r="A257" s="10" t="inlineStr">
        <is>
          <t>C16-01</t>
        </is>
      </c>
      <c r="B257" s="10" t="inlineStr">
        <is>
          <t>C16 物流快遞與搬家</t>
        </is>
      </c>
      <c r="C257" s="11" t="inlineStr">
        <is>
          <t>包裹從下單到門口，經過幾個掃描點</t>
        </is>
      </c>
      <c r="D257" s="10" t="inlineStr">
        <is>
          <t>冷知識</t>
        </is>
      </c>
      <c r="E257" s="12" t="inlineStr">
        <is>
          <t>條碼｜RFID｜BLE</t>
        </is>
      </c>
      <c r="F257" s="11" t="inlineStr">
        <is>
          <t>掃描點之間就是資料斷點</t>
        </is>
      </c>
      <c r="G257" s="10" t="inlineStr">
        <is>
          <t>Threads</t>
        </is>
      </c>
      <c r="H257" s="10" t="inlineStr">
        <is>
          <t>L1</t>
        </is>
      </c>
    </row>
    <row r="258">
      <c r="A258" s="7" t="inlineStr">
        <is>
          <t>C16-02</t>
        </is>
      </c>
      <c r="B258" s="7" t="inlineStr">
        <is>
          <t>C16 物流快遞與搬家</t>
        </is>
      </c>
      <c r="C258" s="8" t="inlineStr">
        <is>
          <t>搬家公司最常弄丟的東西</t>
        </is>
      </c>
      <c r="D258" s="7" t="inlineStr">
        <is>
          <t>市場調查</t>
        </is>
      </c>
      <c r="E258" s="12" t="inlineStr">
        <is>
          <t>BLE 標籤</t>
        </is>
      </c>
      <c r="F258" s="8" t="inlineStr">
        <is>
          <t>搬遷過程的資產風險</t>
        </is>
      </c>
      <c r="G258" s="7" t="inlineStr">
        <is>
          <t>Threads</t>
        </is>
      </c>
      <c r="H258" s="7" t="inlineStr">
        <is>
          <t>L0</t>
        </is>
      </c>
    </row>
    <row r="259">
      <c r="A259" s="10" t="inlineStr">
        <is>
          <t>C16-03</t>
        </is>
      </c>
      <c r="B259" s="10" t="inlineStr">
        <is>
          <t>C16 物流快遞與搬家</t>
        </is>
      </c>
      <c r="C259" s="11" t="inlineStr">
        <is>
          <t>籠車與棧板，為什麼一直要重買</t>
        </is>
      </c>
      <c r="D259" s="10" t="inlineStr">
        <is>
          <t>現象觀察</t>
        </is>
      </c>
      <c r="E259" s="12" t="inlineStr">
        <is>
          <t>周轉具追蹤</t>
        </is>
      </c>
      <c r="F259" s="11" t="inlineStr">
        <is>
          <t>周轉具流失的產業共通題</t>
        </is>
      </c>
      <c r="G259" s="10" t="inlineStr">
        <is>
          <t>產業媒體</t>
        </is>
      </c>
      <c r="H259" s="10" t="inlineStr">
        <is>
          <t>L1</t>
        </is>
      </c>
    </row>
    <row r="260">
      <c r="A260" s="7" t="inlineStr">
        <is>
          <t>C16-04</t>
        </is>
      </c>
      <c r="B260" s="7" t="inlineStr">
        <is>
          <t>C16 物流快遞與搬家</t>
        </is>
      </c>
      <c r="C260" s="8" t="inlineStr">
        <is>
          <t>超商取貨的包裹，暫存在哪</t>
        </is>
      </c>
      <c r="D260" s="7" t="inlineStr">
        <is>
          <t>現象觀察</t>
        </is>
      </c>
      <c r="E260" s="12" t="inlineStr">
        <is>
          <t>區域判讀</t>
        </is>
      </c>
      <c r="F260" s="8" t="inlineStr">
        <is>
          <t>最後一哩的暫存管理</t>
        </is>
      </c>
      <c r="G260" s="7" t="inlineStr">
        <is>
          <t>Threads</t>
        </is>
      </c>
      <c r="H260" s="7" t="inlineStr">
        <is>
          <t>L0</t>
        </is>
      </c>
    </row>
    <row r="261">
      <c r="A261" s="10" t="inlineStr">
        <is>
          <t>C16-05</t>
        </is>
      </c>
      <c r="B261" s="10" t="inlineStr">
        <is>
          <t>C16 物流快遞與搬家</t>
        </is>
      </c>
      <c r="C261" s="11" t="inlineStr">
        <is>
          <t>冷凍包裹在你家門口放多久</t>
        </is>
      </c>
      <c r="D261" s="10" t="inlineStr">
        <is>
          <t>現象觀察</t>
        </is>
      </c>
      <c r="E261" s="12" t="inlineStr">
        <is>
          <t>溫度標籤</t>
        </is>
      </c>
      <c r="F261" s="11" t="inlineStr">
        <is>
          <t>最後一哩的溫控斷點</t>
        </is>
      </c>
      <c r="G261" s="10" t="inlineStr">
        <is>
          <t>Threads</t>
        </is>
      </c>
      <c r="H261" s="10" t="inlineStr">
        <is>
          <t>L1</t>
        </is>
      </c>
    </row>
    <row r="262">
      <c r="A262" s="7" t="inlineStr">
        <is>
          <t>C16-06</t>
        </is>
      </c>
      <c r="B262" s="7" t="inlineStr">
        <is>
          <t>C16 物流快遞與搬家</t>
        </is>
      </c>
      <c r="C262" s="8" t="inlineStr">
        <is>
          <t>物流士一天走幾公里</t>
        </is>
      </c>
      <c r="D262" s="7" t="inlineStr">
        <is>
          <t>現象觀察</t>
        </is>
      </c>
      <c r="E262" s="12" t="inlineStr">
        <is>
          <t>軌跡資料</t>
        </is>
      </c>
      <c r="F262" s="8" t="inlineStr">
        <is>
          <t>勞動強度的可視化</t>
        </is>
      </c>
      <c r="G262" s="7" t="inlineStr">
        <is>
          <t>Threads</t>
        </is>
      </c>
      <c r="H262" s="7" t="inlineStr">
        <is>
          <t>L0</t>
        </is>
      </c>
    </row>
    <row r="263">
      <c r="A263" s="10" t="inlineStr">
        <is>
          <t>C16-07</t>
        </is>
      </c>
      <c r="B263" s="10" t="inlineStr">
        <is>
          <t>C16 物流快遞與搬家</t>
        </is>
      </c>
      <c r="C263" s="11" t="inlineStr">
        <is>
          <t>跨境包裹的追蹤，斷在哪一國</t>
        </is>
      </c>
      <c r="D263" s="10" t="inlineStr">
        <is>
          <t>現象觀察</t>
        </is>
      </c>
      <c r="E263" s="12" t="inlineStr">
        <is>
          <t>國際物流追蹤</t>
        </is>
      </c>
      <c r="F263" s="11" t="inlineStr">
        <is>
          <t>跨境資料鏈的斷點</t>
        </is>
      </c>
      <c r="G263" s="10" t="inlineStr">
        <is>
          <t>Mobile01</t>
        </is>
      </c>
      <c r="H263" s="10" t="inlineStr">
        <is>
          <t>L1</t>
        </is>
      </c>
    </row>
    <row r="264">
      <c r="A264" s="7" t="inlineStr">
        <is>
          <t>C16-08</t>
        </is>
      </c>
      <c r="B264" s="7" t="inlineStr">
        <is>
          <t>C16 物流快遞與搬家</t>
        </is>
      </c>
      <c r="C264" s="8" t="inlineStr">
        <is>
          <t>退貨逆物流的成本，誰在算</t>
        </is>
      </c>
      <c r="D264" s="7" t="inlineStr">
        <is>
          <t>市場調查</t>
        </is>
      </c>
      <c r="E264" s="12" t="inlineStr">
        <is>
          <t>周轉具回收</t>
        </is>
      </c>
      <c r="F264" s="8" t="inlineStr">
        <is>
          <t>逆物流的隱形成本</t>
        </is>
      </c>
      <c r="G264" s="7" t="inlineStr">
        <is>
          <t>產業媒體</t>
        </is>
      </c>
      <c r="H264" s="7" t="inlineStr">
        <is>
          <t>L1</t>
        </is>
      </c>
    </row>
    <row r="265">
      <c r="A265" s="10" t="inlineStr">
        <is>
          <t>C16-09</t>
        </is>
      </c>
      <c r="B265" s="10" t="inlineStr">
        <is>
          <t>C16 物流快遞與搬家</t>
        </is>
      </c>
      <c r="C265" s="11" t="inlineStr">
        <is>
          <t>倉庫盤點要停幾天</t>
        </is>
      </c>
      <c r="D265" s="10" t="inlineStr">
        <is>
          <t>市場調查</t>
        </is>
      </c>
      <c r="E265" s="12" t="inlineStr">
        <is>
          <t>RFID 批次盤點</t>
        </is>
      </c>
      <c r="F265" s="11" t="inlineStr">
        <is>
          <t>盤點工時的壓縮</t>
        </is>
      </c>
      <c r="G265" s="10" t="inlineStr">
        <is>
          <t>產業媒體</t>
        </is>
      </c>
      <c r="H265" s="10" t="inlineStr">
        <is>
          <t>L1</t>
        </is>
      </c>
    </row>
    <row r="266">
      <c r="A266" s="7" t="inlineStr">
        <is>
          <t>C16-10</t>
        </is>
      </c>
      <c r="B266" s="7" t="inlineStr">
        <is>
          <t>C16 物流快遞與搬家</t>
        </is>
      </c>
      <c r="C266" s="8" t="inlineStr">
        <is>
          <t>冷鏈車的溫度紀錄，客戶會查嗎</t>
        </is>
      </c>
      <c r="D266" s="7" t="inlineStr">
        <is>
          <t>現象觀察</t>
        </is>
      </c>
      <c r="E266" s="12" t="inlineStr">
        <is>
          <t>GDP 溫控稽核</t>
        </is>
      </c>
      <c r="F266" s="8" t="inlineStr">
        <is>
          <t>舉證責任的現實</t>
        </is>
      </c>
      <c r="G266" s="7" t="inlineStr">
        <is>
          <t>產業媒體</t>
        </is>
      </c>
      <c r="H266" s="7" t="inlineStr">
        <is>
          <t>L2</t>
        </is>
      </c>
    </row>
    <row r="267">
      <c r="A267" s="10" t="inlineStr">
        <is>
          <t>C16-11</t>
        </is>
      </c>
      <c r="B267" s="10" t="inlineStr">
        <is>
          <t>C16 物流快遞與搬家</t>
        </is>
      </c>
      <c r="C267" s="11" t="inlineStr">
        <is>
          <t>物流中心的堆高機與人員動線</t>
        </is>
      </c>
      <c r="D267" s="10" t="inlineStr">
        <is>
          <t>現象觀察</t>
        </is>
      </c>
      <c r="E267" s="12" t="inlineStr">
        <is>
          <t>UWB 防撞</t>
        </is>
      </c>
      <c r="F267" s="11" t="inlineStr">
        <is>
          <t>人車混流的安全</t>
        </is>
      </c>
      <c r="G267" s="10" t="inlineStr">
        <is>
          <t>產業媒體</t>
        </is>
      </c>
      <c r="H267" s="10" t="inlineStr">
        <is>
          <t>L2</t>
        </is>
      </c>
    </row>
    <row r="268">
      <c r="A268" s="7" t="inlineStr">
        <is>
          <t>C16-12</t>
        </is>
      </c>
      <c r="B268" s="7" t="inlineStr">
        <is>
          <t>C16 物流快遞與搬家</t>
        </is>
      </c>
      <c r="C268" s="8" t="inlineStr">
        <is>
          <t>搬家時把長輩的東西搬丟了</t>
        </is>
      </c>
      <c r="D268" s="7" t="inlineStr">
        <is>
          <t>個人發現</t>
        </is>
      </c>
      <c r="E268" s="8" t="inlineStr">
        <is>
          <t>—</t>
        </is>
      </c>
      <c r="F268" s="8" t="inlineStr">
        <is>
          <t>從物品連到人的情緒轉折</t>
        </is>
      </c>
      <c r="G268" s="7" t="inlineStr">
        <is>
          <t>Threads</t>
        </is>
      </c>
      <c r="H268" s="7" t="inlineStr">
        <is>
          <t>L0</t>
        </is>
      </c>
    </row>
    <row r="269">
      <c r="A269" s="10" t="inlineStr">
        <is>
          <t>C16-13</t>
        </is>
      </c>
      <c r="B269" s="10" t="inlineStr">
        <is>
          <t>C16 物流快遞與搬家</t>
        </is>
      </c>
      <c r="C269" s="11" t="inlineStr">
        <is>
          <t>夜間配送的司機安全</t>
        </is>
      </c>
      <c r="D269" s="10" t="inlineStr">
        <is>
          <t>社會現狀</t>
        </is>
      </c>
      <c r="E269" s="12" t="inlineStr">
        <is>
          <t>單獨作業告警</t>
        </is>
      </c>
      <c r="F269" s="11" t="inlineStr">
        <is>
          <t>夜間工作者的安全</t>
        </is>
      </c>
      <c r="G269" s="10" t="inlineStr">
        <is>
          <t>產業媒體</t>
        </is>
      </c>
      <c r="H269" s="10" t="inlineStr">
        <is>
          <t>L1</t>
        </is>
      </c>
    </row>
    <row r="270">
      <c r="A270" s="7" t="inlineStr">
        <is>
          <t>C16-14</t>
        </is>
      </c>
      <c r="B270" s="7" t="inlineStr">
        <is>
          <t>C16 物流快遞與搬家</t>
        </is>
      </c>
      <c r="C270" s="8" t="inlineStr">
        <is>
          <t>離島配送的溫控，怎麼撐過去</t>
        </is>
      </c>
      <c r="D270" s="7" t="inlineStr">
        <is>
          <t>現象觀察</t>
        </is>
      </c>
      <c r="E270" s="12" t="inlineStr">
        <is>
          <t>保冷箱確效</t>
        </is>
      </c>
      <c r="F270" s="8" t="inlineStr">
        <is>
          <t>極端配送條件</t>
        </is>
      </c>
      <c r="G270" s="7" t="inlineStr">
        <is>
          <t>產業媒體</t>
        </is>
      </c>
      <c r="H270" s="7" t="inlineStr">
        <is>
          <t>L1</t>
        </is>
      </c>
    </row>
    <row r="271">
      <c r="A271" s="10" t="inlineStr">
        <is>
          <t>C16-15</t>
        </is>
      </c>
      <c r="B271" s="10" t="inlineStr">
        <is>
          <t>C16 物流快遞與搬家</t>
        </is>
      </c>
      <c r="C271" s="11" t="inlineStr">
        <is>
          <t>物流業的高齡員工比例</t>
        </is>
      </c>
      <c r="D271" s="10" t="inlineStr">
        <is>
          <t>市場調查</t>
        </is>
      </c>
      <c r="E271" s="11" t="inlineStr">
        <is>
          <t>—</t>
        </is>
      </c>
      <c r="F271" s="11" t="inlineStr">
        <is>
          <t>勞動力結構改變</t>
        </is>
      </c>
      <c r="G271" s="10" t="inlineStr">
        <is>
          <t>Threads</t>
        </is>
      </c>
      <c r="H271" s="10" t="inlineStr">
        <is>
          <t>L0</t>
        </is>
      </c>
    </row>
    <row r="272">
      <c r="A272" s="7" t="inlineStr">
        <is>
          <t>C16-16</t>
        </is>
      </c>
      <c r="B272" s="7" t="inlineStr">
        <is>
          <t>C16 物流快遞與搬家</t>
        </is>
      </c>
      <c r="C272" s="8" t="inlineStr">
        <is>
          <t>一顆標籤，在棧板上與在鞋墊裡</t>
        </is>
      </c>
      <c r="D272" s="7" t="inlineStr">
        <is>
          <t>跨界類比</t>
        </is>
      </c>
      <c r="E272" s="12" t="inlineStr">
        <is>
          <t>同一定位底座</t>
        </is>
      </c>
      <c r="F272" s="8" t="inlineStr">
        <is>
          <t>跨場域延伸的最直接說法</t>
        </is>
      </c>
      <c r="G272" s="7" t="inlineStr">
        <is>
          <t>Threads／技術部落格</t>
        </is>
      </c>
      <c r="H272" s="7" t="inlineStr">
        <is>
          <t>L2</t>
        </is>
      </c>
    </row>
    <row r="273">
      <c r="A273" s="10" t="inlineStr">
        <is>
          <t>C16-17</t>
        </is>
      </c>
      <c r="B273" s="10" t="inlineStr">
        <is>
          <t>C16 物流快遞與搬家</t>
        </is>
      </c>
      <c r="C273" s="11" t="inlineStr">
        <is>
          <t>物流數位化了，但追的是車還是人</t>
        </is>
      </c>
      <c r="D273" s="10" t="inlineStr">
        <is>
          <t>現象觀察</t>
        </is>
      </c>
      <c r="E273" s="12" t="inlineStr">
        <is>
          <t>車輛 vs 人員追蹤</t>
        </is>
      </c>
      <c r="F273" s="11" t="inlineStr">
        <is>
          <t>本案核心洞察的物流版</t>
        </is>
      </c>
      <c r="G273" s="10" t="inlineStr">
        <is>
          <t>產業媒體</t>
        </is>
      </c>
      <c r="H273" s="10" t="inlineStr">
        <is>
          <t>L2</t>
        </is>
      </c>
    </row>
    <row r="274">
      <c r="A274" s="7" t="inlineStr">
        <is>
          <t>C17-01</t>
        </is>
      </c>
      <c r="B274" s="7" t="inlineStr">
        <is>
          <t>C17 宗教民俗與大型集會</t>
        </is>
      </c>
      <c r="C274" s="8" t="inlineStr">
        <is>
          <t>媽祖遶境，九天八夜怎麼不走散</t>
        </is>
      </c>
      <c r="D274" s="7" t="inlineStr">
        <is>
          <t>現象觀察</t>
        </is>
      </c>
      <c r="E274" s="12" t="inlineStr">
        <is>
          <t>群眾網路｜BLE</t>
        </is>
      </c>
      <c r="F274" s="8" t="inlineStr">
        <is>
          <t>大型移動群體的定位需求</t>
        </is>
      </c>
      <c r="G274" s="7" t="inlineStr">
        <is>
          <t>Threads／FB</t>
        </is>
      </c>
      <c r="H274" s="7" t="inlineStr">
        <is>
          <t>L1</t>
        </is>
      </c>
    </row>
    <row r="275">
      <c r="A275" s="10" t="inlineStr">
        <is>
          <t>C17-02</t>
        </is>
      </c>
      <c r="B275" s="10" t="inlineStr">
        <is>
          <t>C17 宗教民俗與大型集會</t>
        </is>
      </c>
      <c r="C275" s="11" t="inlineStr">
        <is>
          <t>進香團的長輩，走失通報多不多</t>
        </is>
      </c>
      <c r="D275" s="10" t="inlineStr">
        <is>
          <t>市場調查</t>
        </is>
      </c>
      <c r="E275" s="11" t="inlineStr">
        <is>
          <t>—</t>
        </is>
      </c>
      <c r="F275" s="11" t="inlineStr">
        <is>
          <t>宗教活動的高齡參與</t>
        </is>
      </c>
      <c r="G275" s="10" t="inlineStr">
        <is>
          <t>Threads</t>
        </is>
      </c>
      <c r="H275" s="10" t="inlineStr">
        <is>
          <t>L0</t>
        </is>
      </c>
    </row>
    <row r="276">
      <c r="A276" s="7" t="inlineStr">
        <is>
          <t>C17-03</t>
        </is>
      </c>
      <c r="B276" s="7" t="inlineStr">
        <is>
          <t>C17 宗教民俗與大型集會</t>
        </is>
      </c>
      <c r="C276" s="8" t="inlineStr">
        <is>
          <t>平安符裡面能放什麼</t>
        </is>
      </c>
      <c r="D276" s="7" t="inlineStr">
        <is>
          <t>個人發現</t>
        </is>
      </c>
      <c r="E276" s="12" t="inlineStr">
        <is>
          <t>BLE 標籤</t>
        </is>
      </c>
      <c r="F276" s="8" t="inlineStr">
        <is>
          <t>無感載體的民俗版本</t>
        </is>
      </c>
      <c r="G276" s="7" t="inlineStr">
        <is>
          <t>Threads</t>
        </is>
      </c>
      <c r="H276" s="7" t="inlineStr">
        <is>
          <t>L1</t>
        </is>
      </c>
    </row>
    <row r="277">
      <c r="A277" s="10" t="inlineStr">
        <is>
          <t>C17-04</t>
        </is>
      </c>
      <c r="B277" s="10" t="inlineStr">
        <is>
          <t>C17 宗教民俗與大型集會</t>
        </is>
      </c>
      <c r="C277" s="11" t="inlineStr">
        <is>
          <t>廟會的人流，主辦怎麼估</t>
        </is>
      </c>
      <c r="D277" s="10" t="inlineStr">
        <is>
          <t>現象觀察</t>
        </is>
      </c>
      <c r="E277" s="12" t="inlineStr">
        <is>
          <t>人流計數</t>
        </is>
      </c>
      <c r="F277" s="11" t="inlineStr">
        <is>
          <t>大型活動的人數掌握</t>
        </is>
      </c>
      <c r="G277" s="10" t="inlineStr">
        <is>
          <t>產業媒體</t>
        </is>
      </c>
      <c r="H277" s="10" t="inlineStr">
        <is>
          <t>L1</t>
        </is>
      </c>
    </row>
    <row r="278">
      <c r="A278" s="7" t="inlineStr">
        <is>
          <t>C17-05</t>
        </is>
      </c>
      <c r="B278" s="7" t="inlineStr">
        <is>
          <t>C17 宗教民俗與大型集會</t>
        </is>
      </c>
      <c r="C278" s="8" t="inlineStr">
        <is>
          <t>跨年演唱會的走失廣播</t>
        </is>
      </c>
      <c r="D278" s="7" t="inlineStr">
        <is>
          <t>社會現狀</t>
        </is>
      </c>
      <c r="E278" s="12" t="inlineStr">
        <is>
          <t>區域判讀</t>
        </is>
      </c>
      <c r="F278" s="8" t="inlineStr">
        <is>
          <t>大型活動的協尋方式</t>
        </is>
      </c>
      <c r="G278" s="7" t="inlineStr">
        <is>
          <t>Threads</t>
        </is>
      </c>
      <c r="H278" s="7" t="inlineStr">
        <is>
          <t>L0</t>
        </is>
      </c>
    </row>
    <row r="279">
      <c r="A279" s="10" t="inlineStr">
        <is>
          <t>C17-06</t>
        </is>
      </c>
      <c r="B279" s="10" t="inlineStr">
        <is>
          <t>C17 宗教民俗與大型集會</t>
        </is>
      </c>
      <c r="C279" s="11" t="inlineStr">
        <is>
          <t>燈會與大型展演的動線設計</t>
        </is>
      </c>
      <c r="D279" s="10" t="inlineStr">
        <is>
          <t>現象觀察</t>
        </is>
      </c>
      <c r="E279" s="12" t="inlineStr">
        <is>
          <t>人流熱區</t>
        </is>
      </c>
      <c r="F279" s="11" t="inlineStr">
        <is>
          <t>動線與安全的平衡</t>
        </is>
      </c>
      <c r="G279" s="10" t="inlineStr">
        <is>
          <t>產業媒體</t>
        </is>
      </c>
      <c r="H279" s="10" t="inlineStr">
        <is>
          <t>L1</t>
        </is>
      </c>
    </row>
    <row r="280">
      <c r="A280" s="7" t="inlineStr">
        <is>
          <t>C17-07</t>
        </is>
      </c>
      <c r="B280" s="7" t="inlineStr">
        <is>
          <t>C17 宗教民俗與大型集會</t>
        </is>
      </c>
      <c r="C280" s="8" t="inlineStr">
        <is>
          <t>選舉造勢場合的人數爭議</t>
        </is>
      </c>
      <c r="D280" s="7" t="inlineStr">
        <is>
          <t>社會現狀</t>
        </is>
      </c>
      <c r="E280" s="12" t="inlineStr">
        <is>
          <t>人流估算方法</t>
        </is>
      </c>
      <c r="F280" s="8" t="inlineStr">
        <is>
          <t>資料方法論的公共討論</t>
        </is>
      </c>
      <c r="G280" s="7" t="inlineStr">
        <is>
          <t>Threads</t>
        </is>
      </c>
      <c r="H280" s="7" t="inlineStr">
        <is>
          <t>L0</t>
        </is>
      </c>
    </row>
    <row r="281">
      <c r="A281" s="10" t="inlineStr">
        <is>
          <t>C17-08</t>
        </is>
      </c>
      <c r="B281" s="10" t="inlineStr">
        <is>
          <t>C17 宗教民俗與大型集會</t>
        </is>
      </c>
      <c r="C281" s="11" t="inlineStr">
        <is>
          <t>遶境志工的調度與補給</t>
        </is>
      </c>
      <c r="D281" s="10" t="inlineStr">
        <is>
          <t>現象觀察</t>
        </is>
      </c>
      <c r="E281" s="12" t="inlineStr">
        <is>
          <t>派遣與位置</t>
        </is>
      </c>
      <c r="F281" s="11" t="inlineStr">
        <is>
          <t>移動組織的調度</t>
        </is>
      </c>
      <c r="G281" s="10" t="inlineStr">
        <is>
          <t>Threads</t>
        </is>
      </c>
      <c r="H281" s="10" t="inlineStr">
        <is>
          <t>L1</t>
        </is>
      </c>
    </row>
    <row r="282">
      <c r="A282" s="7" t="inlineStr">
        <is>
          <t>C17-09</t>
        </is>
      </c>
      <c r="B282" s="7" t="inlineStr">
        <is>
          <t>C17 宗教民俗與大型集會</t>
        </is>
      </c>
      <c r="C282" s="8" t="inlineStr">
        <is>
          <t>長輩參加進香，家人怎麼放心</t>
        </is>
      </c>
      <c r="D282" s="7" t="inlineStr">
        <is>
          <t>個人發現</t>
        </is>
      </c>
      <c r="E282" s="12" t="inlineStr">
        <is>
          <t>群眾網路</t>
        </is>
      </c>
      <c r="F282" s="8" t="inlineStr">
        <is>
          <t>家屬焦慮的宗教場景版</t>
        </is>
      </c>
      <c r="G282" s="7" t="inlineStr">
        <is>
          <t>FB 社團</t>
        </is>
      </c>
      <c r="H282" s="7" t="inlineStr">
        <is>
          <t>L1</t>
        </is>
      </c>
    </row>
    <row r="283">
      <c r="A283" s="10" t="inlineStr">
        <is>
          <t>C17-10</t>
        </is>
      </c>
      <c r="B283" s="10" t="inlineStr">
        <is>
          <t>C17 宗教民俗與大型集會</t>
        </is>
      </c>
      <c r="C283" s="11" t="inlineStr">
        <is>
          <t>廟宇的文物與香油錢管理</t>
        </is>
      </c>
      <c r="D283" s="10" t="inlineStr">
        <is>
          <t>現象觀察</t>
        </is>
      </c>
      <c r="E283" s="12" t="inlineStr">
        <is>
          <t>資產標籤</t>
        </is>
      </c>
      <c r="F283" s="11" t="inlineStr">
        <is>
          <t>非典型場域的資產保護</t>
        </is>
      </c>
      <c r="G283" s="10" t="inlineStr">
        <is>
          <t>Threads</t>
        </is>
      </c>
      <c r="H283" s="10" t="inlineStr">
        <is>
          <t>L0</t>
        </is>
      </c>
    </row>
    <row r="284">
      <c r="A284" s="7" t="inlineStr">
        <is>
          <t>C17-11</t>
        </is>
      </c>
      <c r="B284" s="7" t="inlineStr">
        <is>
          <t>C17 宗教民俗與大型集會</t>
        </is>
      </c>
      <c r="C284" s="8" t="inlineStr">
        <is>
          <t>大型集會的緊急疏散演練</t>
        </is>
      </c>
      <c r="D284" s="7" t="inlineStr">
        <is>
          <t>現象觀察</t>
        </is>
      </c>
      <c r="E284" s="12" t="inlineStr">
        <is>
          <t>人員盤點</t>
        </is>
      </c>
      <c r="F284" s="8" t="inlineStr">
        <is>
          <t>疏散盤點的公共版本</t>
        </is>
      </c>
      <c r="G284" s="7" t="inlineStr">
        <is>
          <t>產業媒體</t>
        </is>
      </c>
      <c r="H284" s="7" t="inlineStr">
        <is>
          <t>L1</t>
        </is>
      </c>
    </row>
    <row r="285">
      <c r="A285" s="10" t="inlineStr">
        <is>
          <t>C17-12</t>
        </is>
      </c>
      <c r="B285" s="10" t="inlineStr">
        <is>
          <t>C17 宗教民俗與大型集會</t>
        </is>
      </c>
      <c r="C285" s="11" t="inlineStr">
        <is>
          <t>遶境路線的即時位置分享</t>
        </is>
      </c>
      <c r="D285" s="10" t="inlineStr">
        <is>
          <t>現象觀察</t>
        </is>
      </c>
      <c r="E285" s="12" t="inlineStr">
        <is>
          <t>GNSS 直播</t>
        </is>
      </c>
      <c r="F285" s="11" t="inlineStr">
        <is>
          <t>位置共享的正向應用</t>
        </is>
      </c>
      <c r="G285" s="10" t="inlineStr">
        <is>
          <t>Threads</t>
        </is>
      </c>
      <c r="H285" s="10" t="inlineStr">
        <is>
          <t>L1</t>
        </is>
      </c>
    </row>
    <row r="286">
      <c r="A286" s="7" t="inlineStr">
        <is>
          <t>C17-13</t>
        </is>
      </c>
      <c r="B286" s="7" t="inlineStr">
        <is>
          <t>C17 宗教民俗與大型集會</t>
        </is>
      </c>
      <c r="C286" s="8" t="inlineStr">
        <is>
          <t>喪葬場合的長輩照顧</t>
        </is>
      </c>
      <c r="D286" s="7" t="inlineStr">
        <is>
          <t>社會現狀</t>
        </is>
      </c>
      <c r="E286" s="8" t="inlineStr">
        <is>
          <t>—</t>
        </is>
      </c>
      <c r="F286" s="8" t="inlineStr">
        <is>
          <t>被忽略的高齡場景</t>
        </is>
      </c>
      <c r="G286" s="7" t="inlineStr">
        <is>
          <t>Threads</t>
        </is>
      </c>
      <c r="H286" s="7" t="inlineStr">
        <is>
          <t>L0</t>
        </is>
      </c>
    </row>
    <row r="287">
      <c r="A287" s="10" t="inlineStr">
        <is>
          <t>C17-14</t>
        </is>
      </c>
      <c r="B287" s="10" t="inlineStr">
        <is>
          <t>C17 宗教民俗與大型集會</t>
        </is>
      </c>
      <c r="C287" s="11" t="inlineStr">
        <is>
          <t>夜市與廟口是社區守望的節點</t>
        </is>
      </c>
      <c r="D287" s="10" t="inlineStr">
        <is>
          <t>現象觀察</t>
        </is>
      </c>
      <c r="E287" s="12" t="inlineStr">
        <is>
          <t>社區協尋</t>
        </is>
      </c>
      <c r="F287" s="11" t="inlineStr">
        <is>
          <t>人肉網路的在地基礎</t>
        </is>
      </c>
      <c r="G287" s="10" t="inlineStr">
        <is>
          <t>FB 社團</t>
        </is>
      </c>
      <c r="H287" s="10" t="inlineStr">
        <is>
          <t>L0</t>
        </is>
      </c>
    </row>
    <row r="288">
      <c r="A288" s="7" t="inlineStr">
        <is>
          <t>C17-15</t>
        </is>
      </c>
      <c r="B288" s="7" t="inlineStr">
        <is>
          <t>C17 宗教民俗與大型集會</t>
        </is>
      </c>
      <c r="C288" s="8" t="inlineStr">
        <is>
          <t>大型活動的失物招領量</t>
        </is>
      </c>
      <c r="D288" s="7" t="inlineStr">
        <is>
          <t>市場調查</t>
        </is>
      </c>
      <c r="E288" s="8" t="inlineStr">
        <is>
          <t>—</t>
        </is>
      </c>
      <c r="F288" s="8" t="inlineStr">
        <is>
          <t>遺失規模的具體化</t>
        </is>
      </c>
      <c r="G288" s="7" t="inlineStr">
        <is>
          <t>Threads</t>
        </is>
      </c>
      <c r="H288" s="7" t="inlineStr">
        <is>
          <t>L0</t>
        </is>
      </c>
    </row>
    <row r="289">
      <c r="A289" s="10" t="inlineStr">
        <is>
          <t>C17-16</t>
        </is>
      </c>
      <c r="B289" s="10" t="inlineStr">
        <is>
          <t>C17 宗教民俗與大型集會</t>
        </is>
      </c>
      <c r="C289" s="11" t="inlineStr">
        <is>
          <t>如果每個志工背心都能回報位置</t>
        </is>
      </c>
      <c r="D289" s="10" t="inlineStr">
        <is>
          <t>跨界類比</t>
        </is>
      </c>
      <c r="E289" s="12" t="inlineStr">
        <is>
          <t>穿戴標籤</t>
        </is>
      </c>
      <c r="F289" s="11" t="inlineStr">
        <is>
          <t>無感配戴的活動版本</t>
        </is>
      </c>
      <c r="G289" s="10" t="inlineStr">
        <is>
          <t>產業媒體</t>
        </is>
      </c>
      <c r="H289" s="10" t="inlineStr">
        <is>
          <t>L2</t>
        </is>
      </c>
    </row>
    <row r="290">
      <c r="A290" s="7" t="inlineStr">
        <is>
          <t>C17-17</t>
        </is>
      </c>
      <c r="B290" s="7" t="inlineStr">
        <is>
          <t>C17 宗教民俗與大型集會</t>
        </is>
      </c>
      <c r="C290" s="8" t="inlineStr">
        <is>
          <t>宗教團體的長照事工，做到哪</t>
        </is>
      </c>
      <c r="D290" s="7" t="inlineStr">
        <is>
          <t>市場調查</t>
        </is>
      </c>
      <c r="E290" s="8" t="inlineStr">
        <is>
          <t>—</t>
        </is>
      </c>
      <c r="F290" s="8" t="inlineStr">
        <is>
          <t>信仰組織的照顧角色</t>
        </is>
      </c>
      <c r="G290" s="7" t="inlineStr">
        <is>
          <t>產業媒體</t>
        </is>
      </c>
      <c r="H290" s="7" t="inlineStr">
        <is>
          <t>L0</t>
        </is>
      </c>
    </row>
    <row r="291">
      <c r="A291" s="10" t="inlineStr">
        <is>
          <t>C18-01</t>
        </is>
      </c>
      <c r="B291" s="10" t="inlineStr">
        <is>
          <t>C18 展演會議與觀光景點</t>
        </is>
      </c>
      <c r="C291" s="11" t="inlineStr">
        <is>
          <t>展場的觀眾動線，主辦看得到嗎</t>
        </is>
      </c>
      <c r="D291" s="10" t="inlineStr">
        <is>
          <t>現象觀察</t>
        </is>
      </c>
      <c r="E291" s="12" t="inlineStr">
        <is>
          <t>BLE｜Wi-Fi 人流</t>
        </is>
      </c>
      <c r="F291" s="11" t="inlineStr">
        <is>
          <t>展覽的資料化</t>
        </is>
      </c>
      <c r="G291" s="10" t="inlineStr">
        <is>
          <t>產業媒體</t>
        </is>
      </c>
      <c r="H291" s="10" t="inlineStr">
        <is>
          <t>L1</t>
        </is>
      </c>
    </row>
    <row r="292">
      <c r="A292" s="7" t="inlineStr">
        <is>
          <t>C18-02</t>
        </is>
      </c>
      <c r="B292" s="7" t="inlineStr">
        <is>
          <t>C18 展演會議與觀光景點</t>
        </is>
      </c>
      <c r="C292" s="8" t="inlineStr">
        <is>
          <t>博物館導覽，從語音機到手機</t>
        </is>
      </c>
      <c r="D292" s="7" t="inlineStr">
        <is>
          <t>現象觀察</t>
        </is>
      </c>
      <c r="E292" s="12" t="inlineStr">
        <is>
          <t>BLE Beacon 導覽</t>
        </is>
      </c>
      <c r="F292" s="8" t="inlineStr">
        <is>
          <t>定位在文化場域的應用</t>
        </is>
      </c>
      <c r="G292" s="7" t="inlineStr">
        <is>
          <t>技術部落格</t>
        </is>
      </c>
      <c r="H292" s="7" t="inlineStr">
        <is>
          <t>L1</t>
        </is>
      </c>
    </row>
    <row r="293">
      <c r="A293" s="10" t="inlineStr">
        <is>
          <t>C18-03</t>
        </is>
      </c>
      <c r="B293" s="10" t="inlineStr">
        <is>
          <t>C18 展演會議與觀光景點</t>
        </is>
      </c>
      <c r="C293" s="11" t="inlineStr">
        <is>
          <t>美術館的長輩參觀，走散了怎麼辦</t>
        </is>
      </c>
      <c r="D293" s="10" t="inlineStr">
        <is>
          <t>現象觀察</t>
        </is>
      </c>
      <c r="E293" s="12" t="inlineStr">
        <is>
          <t>區域判讀</t>
        </is>
      </c>
      <c r="F293" s="11" t="inlineStr">
        <is>
          <t>文化場域的高齡友善</t>
        </is>
      </c>
      <c r="G293" s="10" t="inlineStr">
        <is>
          <t>Threads</t>
        </is>
      </c>
      <c r="H293" s="10" t="inlineStr">
        <is>
          <t>L1</t>
        </is>
      </c>
    </row>
    <row r="294">
      <c r="A294" s="7" t="inlineStr">
        <is>
          <t>C18-04</t>
        </is>
      </c>
      <c r="B294" s="7" t="inlineStr">
        <is>
          <t>C18 展演會議與觀光景點</t>
        </is>
      </c>
      <c r="C294" s="8" t="inlineStr">
        <is>
          <t>會展的參觀者停留時間，怎麼算</t>
        </is>
      </c>
      <c r="D294" s="7" t="inlineStr">
        <is>
          <t>現象觀察</t>
        </is>
      </c>
      <c r="E294" s="12" t="inlineStr">
        <is>
          <t>停留時間分析</t>
        </is>
      </c>
      <c r="F294" s="8" t="inlineStr">
        <is>
          <t>展位價值的量化</t>
        </is>
      </c>
      <c r="G294" s="7" t="inlineStr">
        <is>
          <t>產業媒體</t>
        </is>
      </c>
      <c r="H294" s="7" t="inlineStr">
        <is>
          <t>L1</t>
        </is>
      </c>
    </row>
    <row r="295">
      <c r="A295" s="10" t="inlineStr">
        <is>
          <t>C18-05</t>
        </is>
      </c>
      <c r="B295" s="10" t="inlineStr">
        <is>
          <t>C18 展演會議與觀光景點</t>
        </is>
      </c>
      <c r="C295" s="11" t="inlineStr">
        <is>
          <t>觀光工廠的導覽動線</t>
        </is>
      </c>
      <c r="D295" s="10" t="inlineStr">
        <is>
          <t>現象觀察</t>
        </is>
      </c>
      <c r="E295" s="12" t="inlineStr">
        <is>
          <t>區域感測</t>
        </is>
      </c>
      <c r="F295" s="11" t="inlineStr">
        <is>
          <t>參訪場域的管理</t>
        </is>
      </c>
      <c r="G295" s="10" t="inlineStr">
        <is>
          <t>產業媒體</t>
        </is>
      </c>
      <c r="H295" s="10" t="inlineStr">
        <is>
          <t>L1</t>
        </is>
      </c>
    </row>
    <row r="296">
      <c r="A296" s="7" t="inlineStr">
        <is>
          <t>C18-06</t>
        </is>
      </c>
      <c r="B296" s="7" t="inlineStr">
        <is>
          <t>C18 展演會議與觀光景點</t>
        </is>
      </c>
      <c r="C296" s="8" t="inlineStr">
        <is>
          <t>景點的人流管制，怎麼決定</t>
        </is>
      </c>
      <c r="D296" s="7" t="inlineStr">
        <is>
          <t>現象觀察</t>
        </is>
      </c>
      <c r="E296" s="12" t="inlineStr">
        <is>
          <t>人流資料</t>
        </is>
      </c>
      <c r="F296" s="8" t="inlineStr">
        <is>
          <t>公共管理的資料基礎</t>
        </is>
      </c>
      <c r="G296" s="7" t="inlineStr">
        <is>
          <t>Threads</t>
        </is>
      </c>
      <c r="H296" s="7" t="inlineStr">
        <is>
          <t>L0</t>
        </is>
      </c>
    </row>
    <row r="297">
      <c r="A297" s="10" t="inlineStr">
        <is>
          <t>C18-07</t>
        </is>
      </c>
      <c r="B297" s="10" t="inlineStr">
        <is>
          <t>C18 展演會議與觀光景點</t>
        </is>
      </c>
      <c r="C297" s="11" t="inlineStr">
        <is>
          <t>演唱會的排隊與入場效率</t>
        </is>
      </c>
      <c r="D297" s="10" t="inlineStr">
        <is>
          <t>現象觀察</t>
        </is>
      </c>
      <c r="E297" s="12" t="inlineStr">
        <is>
          <t>通行偵測</t>
        </is>
      </c>
      <c r="F297" s="11" t="inlineStr">
        <is>
          <t>大型活動的通關</t>
        </is>
      </c>
      <c r="G297" s="10" t="inlineStr">
        <is>
          <t>Threads</t>
        </is>
      </c>
      <c r="H297" s="10" t="inlineStr">
        <is>
          <t>L0</t>
        </is>
      </c>
    </row>
    <row r="298">
      <c r="A298" s="7" t="inlineStr">
        <is>
          <t>C18-08</t>
        </is>
      </c>
      <c r="B298" s="7" t="inlineStr">
        <is>
          <t>C18 展演會議與觀光景點</t>
        </is>
      </c>
      <c r="C298" s="8" t="inlineStr">
        <is>
          <t>展品的借展與運送，溫溼度誰管</t>
        </is>
      </c>
      <c r="D298" s="7" t="inlineStr">
        <is>
          <t>現象觀察</t>
        </is>
      </c>
      <c r="E298" s="12" t="inlineStr">
        <is>
          <t>環境感測標籤</t>
        </is>
      </c>
      <c r="F298" s="8" t="inlineStr">
        <is>
          <t>文物運送的環境監控</t>
        </is>
      </c>
      <c r="G298" s="7" t="inlineStr">
        <is>
          <t>產業媒體</t>
        </is>
      </c>
      <c r="H298" s="7" t="inlineStr">
        <is>
          <t>L1</t>
        </is>
      </c>
    </row>
    <row r="299">
      <c r="A299" s="10" t="inlineStr">
        <is>
          <t>C18-09</t>
        </is>
      </c>
      <c r="B299" s="10" t="inlineStr">
        <is>
          <t>C18 展演會議與觀光景點</t>
        </is>
      </c>
      <c r="C299" s="11" t="inlineStr">
        <is>
          <t>觀光景點的失智友善，做到哪</t>
        </is>
      </c>
      <c r="D299" s="10" t="inlineStr">
        <is>
          <t>市場調查</t>
        </is>
      </c>
      <c r="E299" s="12" t="inlineStr">
        <is>
          <t>國際失智友善景點</t>
        </is>
      </c>
      <c r="F299" s="11" t="inlineStr">
        <is>
          <t>國際對照</t>
        </is>
      </c>
      <c r="G299" s="10" t="inlineStr">
        <is>
          <t>部落格</t>
        </is>
      </c>
      <c r="H299" s="10" t="inlineStr">
        <is>
          <t>L0</t>
        </is>
      </c>
    </row>
    <row r="300">
      <c r="A300" s="7" t="inlineStr">
        <is>
          <t>C18-10</t>
        </is>
      </c>
      <c r="B300" s="7" t="inlineStr">
        <is>
          <t>C18 展演會議與觀光景點</t>
        </is>
      </c>
      <c r="C300" s="8" t="inlineStr">
        <is>
          <t>導遊帶團，怎麼知道人到齊</t>
        </is>
      </c>
      <c r="D300" s="7" t="inlineStr">
        <is>
          <t>現象觀察</t>
        </is>
      </c>
      <c r="E300" s="12" t="inlineStr">
        <is>
          <t>群體點名</t>
        </is>
      </c>
      <c r="F300" s="8" t="inlineStr">
        <is>
          <t>團體移動的清點</t>
        </is>
      </c>
      <c r="G300" s="7" t="inlineStr">
        <is>
          <t>產業媒體</t>
        </is>
      </c>
      <c r="H300" s="7" t="inlineStr">
        <is>
          <t>L1</t>
        </is>
      </c>
    </row>
    <row r="301">
      <c r="A301" s="10" t="inlineStr">
        <is>
          <t>C18-11</t>
        </is>
      </c>
      <c r="B301" s="10" t="inlineStr">
        <is>
          <t>C18 展演會議與觀光景點</t>
        </is>
      </c>
      <c r="C301" s="11" t="inlineStr">
        <is>
          <t>主題樂園的走失處理流程</t>
        </is>
      </c>
      <c r="D301" s="10" t="inlineStr">
        <is>
          <t>現象觀察</t>
        </is>
      </c>
      <c r="E301" s="12" t="inlineStr">
        <is>
          <t>區域判讀</t>
        </is>
      </c>
      <c r="F301" s="11" t="inlineStr">
        <is>
          <t>封閉場域的協尋 SOP</t>
        </is>
      </c>
      <c r="G301" s="10" t="inlineStr">
        <is>
          <t>Threads</t>
        </is>
      </c>
      <c r="H301" s="10" t="inlineStr">
        <is>
          <t>L1</t>
        </is>
      </c>
    </row>
    <row r="302">
      <c r="A302" s="7" t="inlineStr">
        <is>
          <t>C18-12</t>
        </is>
      </c>
      <c r="B302" s="7" t="inlineStr">
        <is>
          <t>C18 展演會議與觀光景點</t>
        </is>
      </c>
      <c r="C302" s="8" t="inlineStr">
        <is>
          <t>夜間遊園的安全設計</t>
        </is>
      </c>
      <c r="D302" s="7" t="inlineStr">
        <is>
          <t>現象觀察</t>
        </is>
      </c>
      <c r="E302" s="12" t="inlineStr">
        <is>
          <t>照明與動線</t>
        </is>
      </c>
      <c r="F302" s="8" t="inlineStr">
        <is>
          <t>環境設計與科技的互補</t>
        </is>
      </c>
      <c r="G302" s="7" t="inlineStr">
        <is>
          <t>產業媒體</t>
        </is>
      </c>
      <c r="H302" s="7" t="inlineStr">
        <is>
          <t>L0</t>
        </is>
      </c>
    </row>
    <row r="303">
      <c r="A303" s="10" t="inlineStr">
        <is>
          <t>C18-13</t>
        </is>
      </c>
      <c r="B303" s="10" t="inlineStr">
        <is>
          <t>C18 展演會議與觀光景點</t>
        </is>
      </c>
      <c r="C303" s="11" t="inlineStr">
        <is>
          <t>場館的無障礙路線，找得到嗎</t>
        </is>
      </c>
      <c r="D303" s="10" t="inlineStr">
        <is>
          <t>社會現狀</t>
        </is>
      </c>
      <c r="E303" s="12" t="inlineStr">
        <is>
          <t>室內導航</t>
        </is>
      </c>
      <c r="F303" s="11" t="inlineStr">
        <is>
          <t>無障礙資訊的可及性</t>
        </is>
      </c>
      <c r="G303" s="10" t="inlineStr">
        <is>
          <t>Threads</t>
        </is>
      </c>
      <c r="H303" s="10" t="inlineStr">
        <is>
          <t>L0</t>
        </is>
      </c>
    </row>
    <row r="304">
      <c r="A304" s="7" t="inlineStr">
        <is>
          <t>C18-14</t>
        </is>
      </c>
      <c r="B304" s="7" t="inlineStr">
        <is>
          <t>C18 展演會議與觀光景點</t>
        </is>
      </c>
      <c r="C304" s="8" t="inlineStr">
        <is>
          <t>展場設備的搬運與清點</t>
        </is>
      </c>
      <c r="D304" s="7" t="inlineStr">
        <is>
          <t>現象觀察</t>
        </is>
      </c>
      <c r="E304" s="12" t="inlineStr">
        <is>
          <t>資產標籤</t>
        </is>
      </c>
      <c r="F304" s="8" t="inlineStr">
        <is>
          <t>臨時場域的資產管理</t>
        </is>
      </c>
      <c r="G304" s="7" t="inlineStr">
        <is>
          <t>產業媒體</t>
        </is>
      </c>
      <c r="H304" s="7" t="inlineStr">
        <is>
          <t>L1</t>
        </is>
      </c>
    </row>
    <row r="305">
      <c r="A305" s="10" t="inlineStr">
        <is>
          <t>C18-15</t>
        </is>
      </c>
      <c r="B305" s="10" t="inlineStr">
        <is>
          <t>C18 展演會議與觀光景點</t>
        </is>
      </c>
      <c r="C305" s="11" t="inlineStr">
        <is>
          <t>觀展的高齡族群，需求是什麼</t>
        </is>
      </c>
      <c r="D305" s="10" t="inlineStr">
        <is>
          <t>問卷調查</t>
        </is>
      </c>
      <c r="E305" s="11" t="inlineStr">
        <is>
          <t>—</t>
        </is>
      </c>
      <c r="F305" s="11" t="inlineStr">
        <is>
          <t>高齡文化參與的需求</t>
        </is>
      </c>
      <c r="G305" s="10" t="inlineStr">
        <is>
          <t>Threads</t>
        </is>
      </c>
      <c r="H305" s="10" t="inlineStr">
        <is>
          <t>L0</t>
        </is>
      </c>
    </row>
    <row r="306">
      <c r="A306" s="7" t="inlineStr">
        <is>
          <t>C18-16</t>
        </is>
      </c>
      <c r="B306" s="7" t="inlineStr">
        <is>
          <t>C18 展演會議與觀光景點</t>
        </is>
      </c>
      <c r="C306" s="8" t="inlineStr">
        <is>
          <t>台灣的照顧科技展，今年在看什麼</t>
        </is>
      </c>
      <c r="D306" s="7" t="inlineStr">
        <is>
          <t>市場調查</t>
        </is>
      </c>
      <c r="E306" s="12" t="inlineStr">
        <is>
          <t>國際照顧科技趨勢</t>
        </is>
      </c>
      <c r="F306" s="8" t="inlineStr">
        <is>
          <t>產業趨勢觀察</t>
        </is>
      </c>
      <c r="G306" s="7" t="inlineStr">
        <is>
          <t>產業媒體</t>
        </is>
      </c>
      <c r="H306" s="7" t="inlineStr">
        <is>
          <t>L1</t>
        </is>
      </c>
    </row>
    <row r="307">
      <c r="A307" s="10" t="inlineStr">
        <is>
          <t>C18-17</t>
        </is>
      </c>
      <c r="B307" s="10" t="inlineStr">
        <is>
          <t>C18 展演會議與觀光景點</t>
        </is>
      </c>
      <c r="C307" s="11" t="inlineStr">
        <is>
          <t>一場展覽結束後，資料留下了什麼</t>
        </is>
      </c>
      <c r="D307" s="10" t="inlineStr">
        <is>
          <t>跨界類比</t>
        </is>
      </c>
      <c r="E307" s="12" t="inlineStr">
        <is>
          <t>資料資產化</t>
        </is>
      </c>
      <c r="F307" s="11" t="inlineStr">
        <is>
          <t>活動資料的長期價值</t>
        </is>
      </c>
      <c r="G307" s="10" t="inlineStr">
        <is>
          <t>產業媒體</t>
        </is>
      </c>
      <c r="H307" s="10" t="inlineStr">
        <is>
          <t>L1</t>
        </is>
      </c>
    </row>
    <row r="308">
      <c r="A308" s="7" t="inlineStr">
        <is>
          <t>C19-01</t>
        </is>
      </c>
      <c r="B308" s="7" t="inlineStr">
        <is>
          <t>C19 保全物管與社區</t>
        </is>
      </c>
      <c r="C308" s="8" t="inlineStr">
        <is>
          <t>社區大樓的訪客管理，漏洞在哪</t>
        </is>
      </c>
      <c r="D308" s="7" t="inlineStr">
        <is>
          <t>現象觀察</t>
        </is>
      </c>
      <c r="E308" s="12" t="inlineStr">
        <is>
          <t>門禁＋定位</t>
        </is>
      </c>
      <c r="F308" s="8" t="inlineStr">
        <is>
          <t>訪客管理的普遍缺口</t>
        </is>
      </c>
      <c r="G308" s="7" t="inlineStr">
        <is>
          <t>產業媒體</t>
        </is>
      </c>
      <c r="H308" s="7" t="inlineStr">
        <is>
          <t>L1</t>
        </is>
      </c>
    </row>
    <row r="309">
      <c r="A309" s="10" t="inlineStr">
        <is>
          <t>C19-02</t>
        </is>
      </c>
      <c r="B309" s="10" t="inlineStr">
        <is>
          <t>C19 保全物管與社區</t>
        </is>
      </c>
      <c r="C309" s="11" t="inlineStr">
        <is>
          <t>管理員一個人顧幾層樓</t>
        </is>
      </c>
      <c r="D309" s="10" t="inlineStr">
        <is>
          <t>市場調查</t>
        </is>
      </c>
      <c r="E309" s="11" t="inlineStr">
        <is>
          <t>—</t>
        </is>
      </c>
      <c r="F309" s="11" t="inlineStr">
        <is>
          <t>人力配置的現實</t>
        </is>
      </c>
      <c r="G309" s="10" t="inlineStr">
        <is>
          <t>Threads</t>
        </is>
      </c>
      <c r="H309" s="10" t="inlineStr">
        <is>
          <t>L0</t>
        </is>
      </c>
    </row>
    <row r="310">
      <c r="A310" s="7" t="inlineStr">
        <is>
          <t>C19-03</t>
        </is>
      </c>
      <c r="B310" s="7" t="inlineStr">
        <is>
          <t>C19 保全物管與社區</t>
        </is>
      </c>
      <c r="C310" s="8" t="inlineStr">
        <is>
          <t>社區的獨居長輩，誰在看</t>
        </is>
      </c>
      <c r="D310" s="7" t="inlineStr">
        <is>
          <t>社會現狀</t>
        </is>
      </c>
      <c r="E310" s="12" t="inlineStr">
        <is>
          <t>久未移動告警</t>
        </is>
      </c>
      <c r="F310" s="8" t="inlineStr">
        <is>
          <t>社區型守護的設計</t>
        </is>
      </c>
      <c r="G310" s="7" t="inlineStr">
        <is>
          <t>FB 社團</t>
        </is>
      </c>
      <c r="H310" s="7" t="inlineStr">
        <is>
          <t>L1</t>
        </is>
      </c>
    </row>
    <row r="311">
      <c r="A311" s="10" t="inlineStr">
        <is>
          <t>C19-04</t>
        </is>
      </c>
      <c r="B311" s="10" t="inlineStr">
        <is>
          <t>C19 保全物管與社區</t>
        </is>
      </c>
      <c r="C311" s="11" t="inlineStr">
        <is>
          <t>包裹放在管理室，一天幾件</t>
        </is>
      </c>
      <c r="D311" s="10" t="inlineStr">
        <is>
          <t>市場調查</t>
        </is>
      </c>
      <c r="E311" s="11" t="inlineStr">
        <is>
          <t>—</t>
        </is>
      </c>
      <c r="F311" s="11" t="inlineStr">
        <is>
          <t>物管的隱形工作量</t>
        </is>
      </c>
      <c r="G311" s="10" t="inlineStr">
        <is>
          <t>Threads</t>
        </is>
      </c>
      <c r="H311" s="10" t="inlineStr">
        <is>
          <t>L0</t>
        </is>
      </c>
    </row>
    <row r="312">
      <c r="A312" s="7" t="inlineStr">
        <is>
          <t>C19-05</t>
        </is>
      </c>
      <c r="B312" s="7" t="inlineStr">
        <is>
          <t>C19 保全物管與社區</t>
        </is>
      </c>
      <c r="C312" s="8" t="inlineStr">
        <is>
          <t>保全巡邏的打卡點，能防弊嗎</t>
        </is>
      </c>
      <c r="D312" s="7" t="inlineStr">
        <is>
          <t>現象觀察</t>
        </is>
      </c>
      <c r="E312" s="12" t="inlineStr">
        <is>
          <t>BLE 巡檢防代刷</t>
        </is>
      </c>
      <c r="F312" s="8" t="inlineStr">
        <is>
          <t>代刷卡問題的技術解</t>
        </is>
      </c>
      <c r="G312" s="7" t="inlineStr">
        <is>
          <t>產業媒體</t>
        </is>
      </c>
      <c r="H312" s="7" t="inlineStr">
        <is>
          <t>L2</t>
        </is>
      </c>
    </row>
    <row r="313">
      <c r="A313" s="10" t="inlineStr">
        <is>
          <t>C19-06</t>
        </is>
      </c>
      <c r="B313" s="10" t="inlineStr">
        <is>
          <t>C19 保全物管與社區</t>
        </is>
      </c>
      <c r="C313" s="11" t="inlineStr">
        <is>
          <t>公設的設備與器材管理</t>
        </is>
      </c>
      <c r="D313" s="10" t="inlineStr">
        <is>
          <t>現象觀察</t>
        </is>
      </c>
      <c r="E313" s="12" t="inlineStr">
        <is>
          <t>資產標籤</t>
        </is>
      </c>
      <c r="F313" s="11" t="inlineStr">
        <is>
          <t>社區共有財的管理</t>
        </is>
      </c>
      <c r="G313" s="10" t="inlineStr">
        <is>
          <t>產業媒體</t>
        </is>
      </c>
      <c r="H313" s="10" t="inlineStr">
        <is>
          <t>L0</t>
        </is>
      </c>
    </row>
    <row r="314">
      <c r="A314" s="7" t="inlineStr">
        <is>
          <t>C19-07</t>
        </is>
      </c>
      <c r="B314" s="7" t="inlineStr">
        <is>
          <t>C19 保全物管與社區</t>
        </is>
      </c>
      <c r="C314" s="8" t="inlineStr">
        <is>
          <t>電梯故障困人，多久會被發現</t>
        </is>
      </c>
      <c r="D314" s="7" t="inlineStr">
        <is>
          <t>現象觀察</t>
        </is>
      </c>
      <c r="E314" s="12" t="inlineStr">
        <is>
          <t>異常偵測</t>
        </is>
      </c>
      <c r="F314" s="8" t="inlineStr">
        <is>
          <t>封閉空間的求救</t>
        </is>
      </c>
      <c r="G314" s="7" t="inlineStr">
        <is>
          <t>Threads</t>
        </is>
      </c>
      <c r="H314" s="7" t="inlineStr">
        <is>
          <t>L1</t>
        </is>
      </c>
    </row>
    <row r="315">
      <c r="A315" s="10" t="inlineStr">
        <is>
          <t>C19-08</t>
        </is>
      </c>
      <c r="B315" s="10" t="inlineStr">
        <is>
          <t>C19 保全物管與社區</t>
        </is>
      </c>
      <c r="C315" s="11" t="inlineStr">
        <is>
          <t>社區的緊急疏散名冊，準嗎</t>
        </is>
      </c>
      <c r="D315" s="10" t="inlineStr">
        <is>
          <t>現象觀察</t>
        </is>
      </c>
      <c r="E315" s="12" t="inlineStr">
        <is>
          <t>人員盤點</t>
        </is>
      </c>
      <c r="F315" s="11" t="inlineStr">
        <is>
          <t>名冊與實況的落差</t>
        </is>
      </c>
      <c r="G315" s="10" t="inlineStr">
        <is>
          <t>產業媒體</t>
        </is>
      </c>
      <c r="H315" s="10" t="inlineStr">
        <is>
          <t>L1</t>
        </is>
      </c>
    </row>
    <row r="316">
      <c r="A316" s="7" t="inlineStr">
        <is>
          <t>C19-09</t>
        </is>
      </c>
      <c r="B316" s="7" t="inlineStr">
        <is>
          <t>C19 保全物管與社區</t>
        </is>
      </c>
      <c r="C316" s="8" t="inlineStr">
        <is>
          <t>長輩在社區走失，鄰居會發現嗎</t>
        </is>
      </c>
      <c r="D316" s="7" t="inlineStr">
        <is>
          <t>現象觀察</t>
        </is>
      </c>
      <c r="E316" s="12" t="inlineStr">
        <is>
          <t>社區守望</t>
        </is>
      </c>
      <c r="F316" s="8" t="inlineStr">
        <is>
          <t>人肉網路的第一線</t>
        </is>
      </c>
      <c r="G316" s="7" t="inlineStr">
        <is>
          <t>FB 社團</t>
        </is>
      </c>
      <c r="H316" s="7" t="inlineStr">
        <is>
          <t>L1</t>
        </is>
      </c>
    </row>
    <row r="317">
      <c r="A317" s="10" t="inlineStr">
        <is>
          <t>C19-10</t>
        </is>
      </c>
      <c r="B317" s="10" t="inlineStr">
        <is>
          <t>C19 保全物管與社區</t>
        </is>
      </c>
      <c r="C317" s="11" t="inlineStr">
        <is>
          <t>智慧社區，到底智慧在哪</t>
        </is>
      </c>
      <c r="D317" s="10" t="inlineStr">
        <is>
          <t>現象觀察</t>
        </is>
      </c>
      <c r="E317" s="12" t="inlineStr">
        <is>
          <t>IoT 整合</t>
        </is>
      </c>
      <c r="F317" s="11" t="inlineStr">
        <is>
          <t>行銷詞與實質的落差</t>
        </is>
      </c>
      <c r="G317" s="10" t="inlineStr">
        <is>
          <t>Threads</t>
        </is>
      </c>
      <c r="H317" s="10" t="inlineStr">
        <is>
          <t>L0</t>
        </is>
      </c>
    </row>
    <row r="318">
      <c r="A318" s="7" t="inlineStr">
        <is>
          <t>C19-11</t>
        </is>
      </c>
      <c r="B318" s="7" t="inlineStr">
        <is>
          <t>C19 保全物管與社區</t>
        </is>
      </c>
      <c r="C318" s="8" t="inlineStr">
        <is>
          <t>里長辦公室能提供什麼照顧資源</t>
        </is>
      </c>
      <c r="D318" s="7" t="inlineStr">
        <is>
          <t>市場調查</t>
        </is>
      </c>
      <c r="E318" s="8" t="inlineStr">
        <is>
          <t>—</t>
        </is>
      </c>
      <c r="F318" s="8" t="inlineStr">
        <is>
          <t>在地資源的盤點</t>
        </is>
      </c>
      <c r="G318" s="7" t="inlineStr">
        <is>
          <t>FB 社團</t>
        </is>
      </c>
      <c r="H318" s="7" t="inlineStr">
        <is>
          <t>L0</t>
        </is>
      </c>
    </row>
    <row r="319">
      <c r="A319" s="10" t="inlineStr">
        <is>
          <t>C19-12</t>
        </is>
      </c>
      <c r="B319" s="10" t="inlineStr">
        <is>
          <t>C19 保全物管與社區</t>
        </is>
      </c>
      <c r="C319" s="11" t="inlineStr">
        <is>
          <t>社區關懷據點的活動與出席</t>
        </is>
      </c>
      <c r="D319" s="10" t="inlineStr">
        <is>
          <t>現象觀察</t>
        </is>
      </c>
      <c r="E319" s="12" t="inlineStr">
        <is>
          <t>出席紀錄</t>
        </is>
      </c>
      <c r="F319" s="11" t="inlineStr">
        <is>
          <t>據點營運的資料化</t>
        </is>
      </c>
      <c r="G319" s="10" t="inlineStr">
        <is>
          <t>產業媒體</t>
        </is>
      </c>
      <c r="H319" s="10" t="inlineStr">
        <is>
          <t>L1</t>
        </is>
      </c>
    </row>
    <row r="320">
      <c r="A320" s="7" t="inlineStr">
        <is>
          <t>C19-13</t>
        </is>
      </c>
      <c r="B320" s="7" t="inlineStr">
        <is>
          <t>C19 保全物管與社區</t>
        </is>
      </c>
      <c r="C320" s="8" t="inlineStr">
        <is>
          <t>大樓的監視器，調閱要多久</t>
        </is>
      </c>
      <c r="D320" s="7" t="inlineStr">
        <is>
          <t>現象觀察</t>
        </is>
      </c>
      <c r="E320" s="12" t="inlineStr">
        <is>
          <t>錄影與調閱</t>
        </is>
      </c>
      <c r="F320" s="8" t="inlineStr">
        <is>
          <t>協尋現況的對照組</t>
        </is>
      </c>
      <c r="G320" s="7" t="inlineStr">
        <is>
          <t>Threads</t>
        </is>
      </c>
      <c r="H320" s="7" t="inlineStr">
        <is>
          <t>L1</t>
        </is>
      </c>
    </row>
    <row r="321">
      <c r="A321" s="10" t="inlineStr">
        <is>
          <t>C19-14</t>
        </is>
      </c>
      <c r="B321" s="10" t="inlineStr">
        <is>
          <t>C19 保全物管與社區</t>
        </is>
      </c>
      <c r="C321" s="11" t="inlineStr">
        <is>
          <t>社區的共享物品，怎麼借還</t>
        </is>
      </c>
      <c r="D321" s="10" t="inlineStr">
        <is>
          <t>現象觀察</t>
        </is>
      </c>
      <c r="E321" s="12" t="inlineStr">
        <is>
          <t>BLE 借還管理</t>
        </is>
      </c>
      <c r="F321" s="11" t="inlineStr">
        <is>
          <t>共享資產的管理</t>
        </is>
      </c>
      <c r="G321" s="10" t="inlineStr">
        <is>
          <t>產業媒體</t>
        </is>
      </c>
      <c r="H321" s="10" t="inlineStr">
        <is>
          <t>L1</t>
        </is>
      </c>
    </row>
    <row r="322">
      <c r="A322" s="7" t="inlineStr">
        <is>
          <t>C19-15</t>
        </is>
      </c>
      <c r="B322" s="7" t="inlineStr">
        <is>
          <t>C19 保全物管與社區</t>
        </is>
      </c>
      <c r="C322" s="8" t="inlineStr">
        <is>
          <t>保全業的高齡就業現況</t>
        </is>
      </c>
      <c r="D322" s="7" t="inlineStr">
        <is>
          <t>市場調查</t>
        </is>
      </c>
      <c r="E322" s="8" t="inlineStr">
        <is>
          <t>—</t>
        </is>
      </c>
      <c r="F322" s="8" t="inlineStr">
        <is>
          <t>勞動結構觀察</t>
        </is>
      </c>
      <c r="G322" s="7" t="inlineStr">
        <is>
          <t>Threads</t>
        </is>
      </c>
      <c r="H322" s="7" t="inlineStr">
        <is>
          <t>L0</t>
        </is>
      </c>
    </row>
    <row r="323">
      <c r="A323" s="10" t="inlineStr">
        <is>
          <t>C19-16</t>
        </is>
      </c>
      <c r="B323" s="10" t="inlineStr">
        <is>
          <t>C19 保全物管與社區</t>
        </is>
      </c>
      <c r="C323" s="11" t="inlineStr">
        <is>
          <t>如果社區的守望網有數位版本</t>
        </is>
      </c>
      <c r="D323" s="10" t="inlineStr">
        <is>
          <t>跨界類比</t>
        </is>
      </c>
      <c r="E323" s="12" t="inlineStr">
        <is>
          <t>群眾網路</t>
        </is>
      </c>
      <c r="F323" s="11" t="inlineStr">
        <is>
          <t>社區協尋的技術延伸</t>
        </is>
      </c>
      <c r="G323" s="10" t="inlineStr">
        <is>
          <t>Threads</t>
        </is>
      </c>
      <c r="H323" s="10" t="inlineStr">
        <is>
          <t>L2</t>
        </is>
      </c>
    </row>
    <row r="324">
      <c r="A324" s="7" t="inlineStr">
        <is>
          <t>C19-17</t>
        </is>
      </c>
      <c r="B324" s="7" t="inlineStr">
        <is>
          <t>C19 保全物管與社區</t>
        </is>
      </c>
      <c r="C324" s="8" t="inlineStr">
        <is>
          <t>物管公司導入科技的最大阻力</t>
        </is>
      </c>
      <c r="D324" s="7" t="inlineStr">
        <is>
          <t>問卷調查</t>
        </is>
      </c>
      <c r="E324" s="8" t="inlineStr">
        <is>
          <t>—</t>
        </is>
      </c>
      <c r="F324" s="8" t="inlineStr">
        <is>
          <t>導入阻力的通用題</t>
        </is>
      </c>
      <c r="G324" s="7" t="inlineStr">
        <is>
          <t>產業媒體</t>
        </is>
      </c>
      <c r="H324" s="7" t="inlineStr">
        <is>
          <t>L1</t>
        </is>
      </c>
    </row>
    <row r="325">
      <c r="A325" s="10" t="inlineStr">
        <is>
          <t>C20-01</t>
        </is>
      </c>
      <c r="B325" s="10" t="inlineStr">
        <is>
          <t>C20 公共運輸車站機場</t>
        </is>
      </c>
      <c r="C325" s="11" t="inlineStr">
        <is>
          <t>車站裡的長輩，最容易在哪迷路</t>
        </is>
      </c>
      <c r="D325" s="10" t="inlineStr">
        <is>
          <t>現象觀察</t>
        </is>
      </c>
      <c r="E325" s="12" t="inlineStr">
        <is>
          <t>室內定位</t>
        </is>
      </c>
      <c r="F325" s="11" t="inlineStr">
        <is>
          <t>大型交通節點的定向難題</t>
        </is>
      </c>
      <c r="G325" s="10" t="inlineStr">
        <is>
          <t>Threads</t>
        </is>
      </c>
      <c r="H325" s="10" t="inlineStr">
        <is>
          <t>L1</t>
        </is>
      </c>
    </row>
    <row r="326">
      <c r="A326" s="7" t="inlineStr">
        <is>
          <t>C20-02</t>
        </is>
      </c>
      <c r="B326" s="7" t="inlineStr">
        <is>
          <t>C20 公共運輸車站機場</t>
        </is>
      </c>
      <c r="C326" s="8" t="inlineStr">
        <is>
          <t>機場的行李，一年有多少沒跟上</t>
        </is>
      </c>
      <c r="D326" s="7" t="inlineStr">
        <is>
          <t>市場調查</t>
        </is>
      </c>
      <c r="E326" s="12" t="inlineStr">
        <is>
          <t>行李追蹤系統</t>
        </is>
      </c>
      <c r="F326" s="8" t="inlineStr">
        <is>
          <t>跨國資料鏈</t>
        </is>
      </c>
      <c r="G326" s="7" t="inlineStr">
        <is>
          <t>Mobile01</t>
        </is>
      </c>
      <c r="H326" s="7" t="inlineStr">
        <is>
          <t>L1</t>
        </is>
      </c>
    </row>
    <row r="327">
      <c r="A327" s="10" t="inlineStr">
        <is>
          <t>C20-03</t>
        </is>
      </c>
      <c r="B327" s="10" t="inlineStr">
        <is>
          <t>C20 公共運輸車站機場</t>
        </is>
      </c>
      <c r="C327" s="11" t="inlineStr">
        <is>
          <t>地勤的機坪作業，人員安全怎麼顧</t>
        </is>
      </c>
      <c r="D327" s="10" t="inlineStr">
        <is>
          <t>現象觀察</t>
        </is>
      </c>
      <c r="E327" s="12" t="inlineStr">
        <is>
          <t>UWB｜BLE 定位</t>
        </is>
      </c>
      <c r="F327" s="11" t="inlineStr">
        <is>
          <t>高風險機坪的人員管理</t>
        </is>
      </c>
      <c r="G327" s="10" t="inlineStr">
        <is>
          <t>產業媒體</t>
        </is>
      </c>
      <c r="H327" s="10" t="inlineStr">
        <is>
          <t>L2</t>
        </is>
      </c>
    </row>
    <row r="328">
      <c r="A328" s="7" t="inlineStr">
        <is>
          <t>C20-04</t>
        </is>
      </c>
      <c r="B328" s="7" t="inlineStr">
        <is>
          <t>C20 公共運輸車站機場</t>
        </is>
      </c>
      <c r="C328" s="8" t="inlineStr">
        <is>
          <t>公車上遺留的物品，怎麼處理</t>
        </is>
      </c>
      <c r="D328" s="7" t="inlineStr">
        <is>
          <t>現象觀察</t>
        </is>
      </c>
      <c r="E328" s="12" t="inlineStr">
        <is>
          <t>失物流程</t>
        </is>
      </c>
      <c r="F328" s="8" t="inlineStr">
        <is>
          <t>日常遺失的規模</t>
        </is>
      </c>
      <c r="G328" s="7" t="inlineStr">
        <is>
          <t>Threads</t>
        </is>
      </c>
      <c r="H328" s="7" t="inlineStr">
        <is>
          <t>L0</t>
        </is>
      </c>
    </row>
    <row r="329">
      <c r="A329" s="10" t="inlineStr">
        <is>
          <t>C20-05</t>
        </is>
      </c>
      <c r="B329" s="10" t="inlineStr">
        <is>
          <t>C20 公共運輸車站機場</t>
        </is>
      </c>
      <c r="C329" s="11" t="inlineStr">
        <is>
          <t>無障礙接駁的預約與調度</t>
        </is>
      </c>
      <c r="D329" s="10" t="inlineStr">
        <is>
          <t>現象觀察</t>
        </is>
      </c>
      <c r="E329" s="12" t="inlineStr">
        <is>
          <t>派遣系統</t>
        </is>
      </c>
      <c r="F329" s="11" t="inlineStr">
        <is>
          <t>無障礙運輸的效率</t>
        </is>
      </c>
      <c r="G329" s="10" t="inlineStr">
        <is>
          <t>產業媒體</t>
        </is>
      </c>
      <c r="H329" s="10" t="inlineStr">
        <is>
          <t>L1</t>
        </is>
      </c>
    </row>
    <row r="330">
      <c r="A330" s="7" t="inlineStr">
        <is>
          <t>C20-06</t>
        </is>
      </c>
      <c r="B330" s="7" t="inlineStr">
        <is>
          <t>C20 公共運輸車站機場</t>
        </is>
      </c>
      <c r="C330" s="8" t="inlineStr">
        <is>
          <t>長輩搭錯車，多久會發現</t>
        </is>
      </c>
      <c r="D330" s="7" t="inlineStr">
        <is>
          <t>現象觀察</t>
        </is>
      </c>
      <c r="E330" s="12" t="inlineStr">
        <is>
          <t>軌跡異常偵測</t>
        </is>
      </c>
      <c r="F330" s="8" t="inlineStr">
        <is>
          <t>異常行為的偵測</t>
        </is>
      </c>
      <c r="G330" s="7" t="inlineStr">
        <is>
          <t>Threads</t>
        </is>
      </c>
      <c r="H330" s="7" t="inlineStr">
        <is>
          <t>L1</t>
        </is>
      </c>
    </row>
    <row r="331">
      <c r="A331" s="10" t="inlineStr">
        <is>
          <t>C20-07</t>
        </is>
      </c>
      <c r="B331" s="10" t="inlineStr">
        <is>
          <t>C20 公共運輸車站機場</t>
        </is>
      </c>
      <c r="C331" s="11" t="inlineStr">
        <is>
          <t>捷運站的出口編號，對長輩友善嗎</t>
        </is>
      </c>
      <c r="D331" s="10" t="inlineStr">
        <is>
          <t>社會現狀</t>
        </is>
      </c>
      <c r="E331" s="12" t="inlineStr">
        <is>
          <t>導引設計</t>
        </is>
      </c>
      <c r="F331" s="11" t="inlineStr">
        <is>
          <t>空間認知與高齡</t>
        </is>
      </c>
      <c r="G331" s="10" t="inlineStr">
        <is>
          <t>Threads</t>
        </is>
      </c>
      <c r="H331" s="10" t="inlineStr">
        <is>
          <t>L0</t>
        </is>
      </c>
    </row>
    <row r="332">
      <c r="A332" s="7" t="inlineStr">
        <is>
          <t>C20-08</t>
        </is>
      </c>
      <c r="B332" s="7" t="inlineStr">
        <is>
          <t>C20 公共運輸車站機場</t>
        </is>
      </c>
      <c r="C332" s="8" t="inlineStr">
        <is>
          <t>高鐵站的人流尖峰與疏運</t>
        </is>
      </c>
      <c r="D332" s="7" t="inlineStr">
        <is>
          <t>現象觀察</t>
        </is>
      </c>
      <c r="E332" s="12" t="inlineStr">
        <is>
          <t>人流資料</t>
        </is>
      </c>
      <c r="F332" s="8" t="inlineStr">
        <is>
          <t>公共運輸的資料應用</t>
        </is>
      </c>
      <c r="G332" s="7" t="inlineStr">
        <is>
          <t>產業媒體</t>
        </is>
      </c>
      <c r="H332" s="7" t="inlineStr">
        <is>
          <t>L1</t>
        </is>
      </c>
    </row>
    <row r="333">
      <c r="A333" s="10" t="inlineStr">
        <is>
          <t>C20-09</t>
        </is>
      </c>
      <c r="B333" s="10" t="inlineStr">
        <is>
          <t>C20 公共運輸車站機場</t>
        </is>
      </c>
      <c r="C333" s="11" t="inlineStr">
        <is>
          <t>機場的輪椅服務，等多久</t>
        </is>
      </c>
      <c r="D333" s="10" t="inlineStr">
        <is>
          <t>市場調查</t>
        </is>
      </c>
      <c r="E333" s="11" t="inlineStr">
        <is>
          <t>—</t>
        </is>
      </c>
      <c r="F333" s="11" t="inlineStr">
        <is>
          <t>無障礙服務的現實</t>
        </is>
      </c>
      <c r="G333" s="10" t="inlineStr">
        <is>
          <t>Threads</t>
        </is>
      </c>
      <c r="H333" s="10" t="inlineStr">
        <is>
          <t>L0</t>
        </is>
      </c>
    </row>
    <row r="334">
      <c r="A334" s="7" t="inlineStr">
        <is>
          <t>C20-10</t>
        </is>
      </c>
      <c r="B334" s="7" t="inlineStr">
        <is>
          <t>C20 公共運輸車站機場</t>
        </is>
      </c>
      <c r="C334" s="8" t="inlineStr">
        <is>
          <t>計程車遺留物的協尋</t>
        </is>
      </c>
      <c r="D334" s="7" t="inlineStr">
        <is>
          <t>現象觀察</t>
        </is>
      </c>
      <c r="E334" s="12" t="inlineStr">
        <is>
          <t>Find My｜Find Hub</t>
        </is>
      </c>
      <c r="F334" s="8" t="inlineStr">
        <is>
          <t>跨載具的最後偵測位置</t>
        </is>
      </c>
      <c r="G334" s="7" t="inlineStr">
        <is>
          <t>Threads</t>
        </is>
      </c>
      <c r="H334" s="7" t="inlineStr">
        <is>
          <t>L1</t>
        </is>
      </c>
    </row>
    <row r="335">
      <c r="A335" s="10" t="inlineStr">
        <is>
          <t>C20-11</t>
        </is>
      </c>
      <c r="B335" s="10" t="inlineStr">
        <is>
          <t>C20 公共運輸車站機場</t>
        </is>
      </c>
      <c r="C335" s="11" t="inlineStr">
        <is>
          <t>客運駕駛的工時與休息管理</t>
        </is>
      </c>
      <c r="D335" s="10" t="inlineStr">
        <is>
          <t>現象觀察</t>
        </is>
      </c>
      <c r="E335" s="12" t="inlineStr">
        <is>
          <t>車輛與人員資料</t>
        </is>
      </c>
      <c r="F335" s="11" t="inlineStr">
        <is>
          <t>駕駛安全管理</t>
        </is>
      </c>
      <c r="G335" s="10" t="inlineStr">
        <is>
          <t>產業媒體</t>
        </is>
      </c>
      <c r="H335" s="10" t="inlineStr">
        <is>
          <t>L1</t>
        </is>
      </c>
    </row>
    <row r="336">
      <c r="A336" s="7" t="inlineStr">
        <is>
          <t>C20-12</t>
        </is>
      </c>
      <c r="B336" s="7" t="inlineStr">
        <is>
          <t>C20 公共運輸車站機場</t>
        </is>
      </c>
      <c r="C336" s="8" t="inlineStr">
        <is>
          <t>轉運站的動線，為什麼容易迷路</t>
        </is>
      </c>
      <c r="D336" s="7" t="inlineStr">
        <is>
          <t>現象觀察</t>
        </is>
      </c>
      <c r="E336" s="12" t="inlineStr">
        <is>
          <t>室內導航</t>
        </is>
      </c>
      <c r="F336" s="8" t="inlineStr">
        <is>
          <t>大型場域的導引</t>
        </is>
      </c>
      <c r="G336" s="7" t="inlineStr">
        <is>
          <t>Threads</t>
        </is>
      </c>
      <c r="H336" s="7" t="inlineStr">
        <is>
          <t>L0</t>
        </is>
      </c>
    </row>
    <row r="337">
      <c r="A337" s="10" t="inlineStr">
        <is>
          <t>C20-13</t>
        </is>
      </c>
      <c r="B337" s="10" t="inlineStr">
        <is>
          <t>C20 公共運輸車站機場</t>
        </is>
      </c>
      <c r="C337" s="11" t="inlineStr">
        <is>
          <t>票證資料能看出什麼行為模式</t>
        </is>
      </c>
      <c r="D337" s="10" t="inlineStr">
        <is>
          <t>冷知識</t>
        </is>
      </c>
      <c r="E337" s="12" t="inlineStr">
        <is>
          <t>通行資料</t>
        </is>
      </c>
      <c r="F337" s="11" t="inlineStr">
        <is>
          <t>資料的可推論性與隱私</t>
        </is>
      </c>
      <c r="G337" s="10" t="inlineStr">
        <is>
          <t>Threads</t>
        </is>
      </c>
      <c r="H337" s="10" t="inlineStr">
        <is>
          <t>L1</t>
        </is>
      </c>
    </row>
    <row r="338">
      <c r="A338" s="7" t="inlineStr">
        <is>
          <t>C20-14</t>
        </is>
      </c>
      <c r="B338" s="7" t="inlineStr">
        <is>
          <t>C20 公共運輸車站機場</t>
        </is>
      </c>
      <c r="C338" s="8" t="inlineStr">
        <is>
          <t>站務人員的緊急應變流程</t>
        </is>
      </c>
      <c r="D338" s="7" t="inlineStr">
        <is>
          <t>現象觀察</t>
        </is>
      </c>
      <c r="E338" s="12" t="inlineStr">
        <is>
          <t>事件推播</t>
        </is>
      </c>
      <c r="F338" s="8" t="inlineStr">
        <is>
          <t>告警分流的設計</t>
        </is>
      </c>
      <c r="G338" s="7" t="inlineStr">
        <is>
          <t>產業媒體</t>
        </is>
      </c>
      <c r="H338" s="7" t="inlineStr">
        <is>
          <t>L1</t>
        </is>
      </c>
    </row>
    <row r="339">
      <c r="A339" s="10" t="inlineStr">
        <is>
          <t>C20-15</t>
        </is>
      </c>
      <c r="B339" s="10" t="inlineStr">
        <is>
          <t>C20 公共運輸車站機場</t>
        </is>
      </c>
      <c r="C339" s="11" t="inlineStr">
        <is>
          <t>長照接送車與一般復康巴士，差在哪</t>
        </is>
      </c>
      <c r="D339" s="10" t="inlineStr">
        <is>
          <t>市場調查</t>
        </is>
      </c>
      <c r="E339" s="11" t="inlineStr">
        <is>
          <t>—</t>
        </is>
      </c>
      <c r="F339" s="11" t="inlineStr">
        <is>
          <t>接送服務的分類科普</t>
        </is>
      </c>
      <c r="G339" s="10" t="inlineStr">
        <is>
          <t>產業媒體</t>
        </is>
      </c>
      <c r="H339" s="10" t="inlineStr">
        <is>
          <t>L1</t>
        </is>
      </c>
    </row>
    <row r="340">
      <c r="A340" s="7" t="inlineStr">
        <is>
          <t>C20-16</t>
        </is>
      </c>
      <c r="B340" s="7" t="inlineStr">
        <is>
          <t>C20 公共運輸車站機場</t>
        </is>
      </c>
      <c r="C340" s="8" t="inlineStr">
        <is>
          <t>接送車上下車的自動紀錄</t>
        </is>
      </c>
      <c r="D340" s="7" t="inlineStr">
        <is>
          <t>跨界類比</t>
        </is>
      </c>
      <c r="E340" s="12" t="inlineStr">
        <is>
          <t>BLE 車載考勤</t>
        </is>
      </c>
      <c r="F340" s="8" t="inlineStr">
        <is>
          <t>本案核心洞察的公共運輸版</t>
        </is>
      </c>
      <c r="G340" s="7" t="inlineStr">
        <is>
          <t>產業媒體</t>
        </is>
      </c>
      <c r="H340" s="7" t="inlineStr">
        <is>
          <t>L2</t>
        </is>
      </c>
    </row>
    <row r="341">
      <c r="A341" s="10" t="inlineStr">
        <is>
          <t>C20-17</t>
        </is>
      </c>
      <c r="B341" s="10" t="inlineStr">
        <is>
          <t>C20 公共運輸車站機場</t>
        </is>
      </c>
      <c r="C341" s="11" t="inlineStr">
        <is>
          <t>無人載具來了，人的定位更重要還是更不重要</t>
        </is>
      </c>
      <c r="D341" s="10" t="inlineStr">
        <is>
          <t>跨界類比</t>
        </is>
      </c>
      <c r="E341" s="12" t="inlineStr">
        <is>
          <t>AGV｜自駕</t>
        </is>
      </c>
      <c r="F341" s="11" t="inlineStr">
        <is>
          <t>自動化與人員安全的關係</t>
        </is>
      </c>
      <c r="G341" s="10" t="inlineStr">
        <is>
          <t>技術部落格</t>
        </is>
      </c>
      <c r="H341" s="10" t="inlineStr">
        <is>
          <t>L1</t>
        </is>
      </c>
    </row>
    <row r="342">
      <c r="A342" s="7" t="inlineStr">
        <is>
          <t>C21-01</t>
        </is>
      </c>
      <c r="B342" s="7" t="inlineStr">
        <is>
          <t>C21 銀髮生活（非官方視角）</t>
        </is>
      </c>
      <c r="C342" s="8" t="inlineStr">
        <is>
          <t>退休後的一天，時間都花在哪</t>
        </is>
      </c>
      <c r="D342" s="7" t="inlineStr">
        <is>
          <t>問卷調查</t>
        </is>
      </c>
      <c r="E342" s="8" t="inlineStr">
        <is>
          <t>—</t>
        </is>
      </c>
      <c r="F342" s="8" t="inlineStr">
        <is>
          <t>用生活問題切入高齡族群</t>
        </is>
      </c>
      <c r="G342" s="7" t="inlineStr">
        <is>
          <t>Threads</t>
        </is>
      </c>
      <c r="H342" s="7" t="inlineStr">
        <is>
          <t>L0</t>
        </is>
      </c>
    </row>
    <row r="343">
      <c r="A343" s="10" t="inlineStr">
        <is>
          <t>C21-02</t>
        </is>
      </c>
      <c r="B343" s="10" t="inlineStr">
        <is>
          <t>C21 銀髮生活（非官方視角）</t>
        </is>
      </c>
      <c r="C343" s="11" t="inlineStr">
        <is>
          <t>長輩的固定路線，其實很固定</t>
        </is>
      </c>
      <c r="D343" s="10" t="inlineStr">
        <is>
          <t>現象觀察</t>
        </is>
      </c>
      <c r="E343" s="12" t="inlineStr">
        <is>
          <t>軌跡與習慣</t>
        </is>
      </c>
      <c r="F343" s="11" t="inlineStr">
        <is>
          <t>習慣路線是異常判讀的基礎</t>
        </is>
      </c>
      <c r="G343" s="10" t="inlineStr">
        <is>
          <t>Threads</t>
        </is>
      </c>
      <c r="H343" s="10" t="inlineStr">
        <is>
          <t>L1</t>
        </is>
      </c>
    </row>
    <row r="344">
      <c r="A344" s="7" t="inlineStr">
        <is>
          <t>C21-03</t>
        </is>
      </c>
      <c r="B344" s="7" t="inlineStr">
        <is>
          <t>C21 銀髮生活（非官方視角）</t>
        </is>
      </c>
      <c r="C344" s="8" t="inlineStr">
        <is>
          <t>銀髮族的手機使用率，比你想的高</t>
        </is>
      </c>
      <c r="D344" s="7" t="inlineStr">
        <is>
          <t>市場調查</t>
        </is>
      </c>
      <c r="E344" s="8" t="inlineStr">
        <is>
          <t>—</t>
        </is>
      </c>
      <c r="F344" s="8" t="inlineStr">
        <is>
          <t>數位落差的實況</t>
        </is>
      </c>
      <c r="G344" s="7" t="inlineStr">
        <is>
          <t>Threads</t>
        </is>
      </c>
      <c r="H344" s="7" t="inlineStr">
        <is>
          <t>L0</t>
        </is>
      </c>
    </row>
    <row r="345">
      <c r="A345" s="10" t="inlineStr">
        <is>
          <t>C21-04</t>
        </is>
      </c>
      <c r="B345" s="10" t="inlineStr">
        <is>
          <t>C21 銀髮生活（非官方視角）</t>
        </is>
      </c>
      <c r="C345" s="11" t="inlineStr">
        <is>
          <t>長輩最討厭被說的三句話</t>
        </is>
      </c>
      <c r="D345" s="10" t="inlineStr">
        <is>
          <t>問卷調查</t>
        </is>
      </c>
      <c r="E345" s="11" t="inlineStr">
        <is>
          <t>—</t>
        </is>
      </c>
      <c r="F345" s="11" t="inlineStr">
        <is>
          <t>同理心切入，非官方口吻</t>
        </is>
      </c>
      <c r="G345" s="10" t="inlineStr">
        <is>
          <t>Threads／FB</t>
        </is>
      </c>
      <c r="H345" s="10" t="inlineStr">
        <is>
          <t>L0</t>
        </is>
      </c>
    </row>
    <row r="346">
      <c r="A346" s="7" t="inlineStr">
        <is>
          <t>C21-05</t>
        </is>
      </c>
      <c r="B346" s="7" t="inlineStr">
        <is>
          <t>C21 銀髮生活（非官方視角）</t>
        </is>
      </c>
      <c r="C346" s="8" t="inlineStr">
        <is>
          <t>為什麼長輩不喜歡戴任何新東西</t>
        </is>
      </c>
      <c r="D346" s="7" t="inlineStr">
        <is>
          <t>現象觀察</t>
        </is>
      </c>
      <c r="E346" s="12" t="inlineStr">
        <is>
          <t>配戴依從性</t>
        </is>
      </c>
      <c r="F346" s="8" t="inlineStr">
        <is>
          <t>配戴意願的核心命題</t>
        </is>
      </c>
      <c r="G346" s="7" t="inlineStr">
        <is>
          <t>Threads</t>
        </is>
      </c>
      <c r="H346" s="7" t="inlineStr">
        <is>
          <t>L1</t>
        </is>
      </c>
    </row>
    <row r="347">
      <c r="A347" s="10" t="inlineStr">
        <is>
          <t>C21-06</t>
        </is>
      </c>
      <c r="B347" s="10" t="inlineStr">
        <is>
          <t>C21 銀髮生活（非官方視角）</t>
        </is>
      </c>
      <c r="C347" s="11" t="inlineStr">
        <is>
          <t>銀髮住宅與一般住宅的設計差在哪</t>
        </is>
      </c>
      <c r="D347" s="10" t="inlineStr">
        <is>
          <t>市場調查</t>
        </is>
      </c>
      <c r="E347" s="12" t="inlineStr">
        <is>
          <t>國際高齡住宅</t>
        </is>
      </c>
      <c r="F347" s="11" t="inlineStr">
        <is>
          <t>國際對照</t>
        </is>
      </c>
      <c r="G347" s="10" t="inlineStr">
        <is>
          <t>部落格</t>
        </is>
      </c>
      <c r="H347" s="10" t="inlineStr">
        <is>
          <t>L0</t>
        </is>
      </c>
    </row>
    <row r="348">
      <c r="A348" s="7" t="inlineStr">
        <is>
          <t>C21-07</t>
        </is>
      </c>
      <c r="B348" s="7" t="inlineStr">
        <is>
          <t>C21 銀髮生活（非官方視角）</t>
        </is>
      </c>
      <c r="C348" s="8" t="inlineStr">
        <is>
          <t>獨居長輩一天說幾句話</t>
        </is>
      </c>
      <c r="D348" s="7" t="inlineStr">
        <is>
          <t>社會現狀</t>
        </is>
      </c>
      <c r="E348" s="8" t="inlineStr">
        <is>
          <t>—</t>
        </is>
      </c>
      <c r="F348" s="8" t="inlineStr">
        <is>
          <t>孤獨議題的量化</t>
        </is>
      </c>
      <c r="G348" s="7" t="inlineStr">
        <is>
          <t>Threads</t>
        </is>
      </c>
      <c r="H348" s="7" t="inlineStr">
        <is>
          <t>L0</t>
        </is>
      </c>
    </row>
    <row r="349">
      <c r="A349" s="10" t="inlineStr">
        <is>
          <t>C21-08</t>
        </is>
      </c>
      <c r="B349" s="10" t="inlineStr">
        <is>
          <t>C21 銀髮生活（非官方視角）</t>
        </is>
      </c>
      <c r="C349" s="11" t="inlineStr">
        <is>
          <t>長輩的鞋子，多久換一次</t>
        </is>
      </c>
      <c r="D349" s="10" t="inlineStr">
        <is>
          <t>冷知識</t>
        </is>
      </c>
      <c r="E349" s="11" t="inlineStr">
        <is>
          <t>—</t>
        </is>
      </c>
      <c r="F349" s="11" t="inlineStr">
        <is>
          <t>從日常物件切入產品場景</t>
        </is>
      </c>
      <c r="G349" s="10" t="inlineStr">
        <is>
          <t>Threads</t>
        </is>
      </c>
      <c r="H349" s="10" t="inlineStr">
        <is>
          <t>L1</t>
        </is>
      </c>
    </row>
    <row r="350">
      <c r="A350" s="7" t="inlineStr">
        <is>
          <t>C21-09</t>
        </is>
      </c>
      <c r="B350" s="7" t="inlineStr">
        <is>
          <t>C21 銀髮生活（非官方視角）</t>
        </is>
      </c>
      <c r="C350" s="8" t="inlineStr">
        <is>
          <t>銀髮族的消費力，被低估了嗎</t>
        </is>
      </c>
      <c r="D350" s="7" t="inlineStr">
        <is>
          <t>市場調查</t>
        </is>
      </c>
      <c r="E350" s="12" t="inlineStr">
        <is>
          <t>銀髮經濟規模</t>
        </is>
      </c>
      <c r="F350" s="8" t="inlineStr">
        <is>
          <t>市場規模的建立</t>
        </is>
      </c>
      <c r="G350" s="7" t="inlineStr">
        <is>
          <t>產業媒體</t>
        </is>
      </c>
      <c r="H350" s="7" t="inlineStr">
        <is>
          <t>L0</t>
        </is>
      </c>
    </row>
    <row r="351">
      <c r="A351" s="10" t="inlineStr">
        <is>
          <t>C21-10</t>
        </is>
      </c>
      <c r="B351" s="10" t="inlineStr">
        <is>
          <t>C21 銀髮生活（非官方視角）</t>
        </is>
      </c>
      <c r="C351" s="11" t="inlineStr">
        <is>
          <t>長輩出門前會檢查什麼</t>
        </is>
      </c>
      <c r="D351" s="10" t="inlineStr">
        <is>
          <t>問卷調查</t>
        </is>
      </c>
      <c r="E351" s="11" t="inlineStr">
        <is>
          <t>—</t>
        </is>
      </c>
      <c r="F351" s="11" t="inlineStr">
        <is>
          <t>行為觀察的趣味化</t>
        </is>
      </c>
      <c r="G351" s="10" t="inlineStr">
        <is>
          <t>Threads</t>
        </is>
      </c>
      <c r="H351" s="10" t="inlineStr">
        <is>
          <t>L0</t>
        </is>
      </c>
    </row>
    <row r="352">
      <c r="A352" s="7" t="inlineStr">
        <is>
          <t>C21-11</t>
        </is>
      </c>
      <c r="B352" s="7" t="inlineStr">
        <is>
          <t>C21 銀髮生活（非官方視角）</t>
        </is>
      </c>
      <c r="C352" s="8" t="inlineStr">
        <is>
          <t>長輩的社交圈，退休後縮小多少</t>
        </is>
      </c>
      <c r="D352" s="7" t="inlineStr">
        <is>
          <t>市場調查</t>
        </is>
      </c>
      <c r="E352" s="8" t="inlineStr">
        <is>
          <t>—</t>
        </is>
      </c>
      <c r="F352" s="8" t="inlineStr">
        <is>
          <t>社會參與與失智風險</t>
        </is>
      </c>
      <c r="G352" s="7" t="inlineStr">
        <is>
          <t>Threads</t>
        </is>
      </c>
      <c r="H352" s="7" t="inlineStr">
        <is>
          <t>L0</t>
        </is>
      </c>
    </row>
    <row r="353">
      <c r="A353" s="10" t="inlineStr">
        <is>
          <t>C21-12</t>
        </is>
      </c>
      <c r="B353" s="10" t="inlineStr">
        <is>
          <t>C21 銀髮生活（非官方視角）</t>
        </is>
      </c>
      <c r="C353" s="11" t="inlineStr">
        <is>
          <t>高齡者的科技接受度，關鍵在哪</t>
        </is>
      </c>
      <c r="D353" s="10" t="inlineStr">
        <is>
          <t>問卷調查</t>
        </is>
      </c>
      <c r="E353" s="11" t="inlineStr">
        <is>
          <t>—</t>
        </is>
      </c>
      <c r="F353" s="11" t="inlineStr">
        <is>
          <t>接受度而非功能，才是門檻</t>
        </is>
      </c>
      <c r="G353" s="10" t="inlineStr">
        <is>
          <t>產業媒體</t>
        </is>
      </c>
      <c r="H353" s="10" t="inlineStr">
        <is>
          <t>L1</t>
        </is>
      </c>
    </row>
    <row r="354">
      <c r="A354" s="7" t="inlineStr">
        <is>
          <t>C21-13</t>
        </is>
      </c>
      <c r="B354" s="7" t="inlineStr">
        <is>
          <t>C21 銀髮生活（非官方視角）</t>
        </is>
      </c>
      <c r="C354" s="8" t="inlineStr">
        <is>
          <t>銀髮友善的字體、按鍵、聲音</t>
        </is>
      </c>
      <c r="D354" s="7" t="inlineStr">
        <is>
          <t>現象觀察</t>
        </is>
      </c>
      <c r="E354" s="12" t="inlineStr">
        <is>
          <t>適老化設計</t>
        </is>
      </c>
      <c r="F354" s="8" t="inlineStr">
        <is>
          <t>設計細節的重要性</t>
        </is>
      </c>
      <c r="G354" s="7" t="inlineStr">
        <is>
          <t>技術部落格</t>
        </is>
      </c>
      <c r="H354" s="7" t="inlineStr">
        <is>
          <t>L1</t>
        </is>
      </c>
    </row>
    <row r="355">
      <c r="A355" s="10" t="inlineStr">
        <is>
          <t>C21-14</t>
        </is>
      </c>
      <c r="B355" s="10" t="inlineStr">
        <is>
          <t>C21 銀髮生活（非官方視角）</t>
        </is>
      </c>
      <c r="C355" s="11" t="inlineStr">
        <is>
          <t>長輩自己買的第一個 3C 產品是什麼</t>
        </is>
      </c>
      <c r="D355" s="10" t="inlineStr">
        <is>
          <t>問卷調查</t>
        </is>
      </c>
      <c r="E355" s="11" t="inlineStr">
        <is>
          <t>—</t>
        </is>
      </c>
      <c r="F355" s="11" t="inlineStr">
        <is>
          <t>消費行為的觀察</t>
        </is>
      </c>
      <c r="G355" s="10" t="inlineStr">
        <is>
          <t>Threads</t>
        </is>
      </c>
      <c r="H355" s="10" t="inlineStr">
        <is>
          <t>L0</t>
        </is>
      </c>
    </row>
    <row r="356">
      <c r="A356" s="7" t="inlineStr">
        <is>
          <t>C21-15</t>
        </is>
      </c>
      <c r="B356" s="7" t="inlineStr">
        <is>
          <t>C21 銀髮生活（非官方視角）</t>
        </is>
      </c>
      <c r="C356" s="8" t="inlineStr">
        <is>
          <t>共餐據點的出席，能看出什麼</t>
        </is>
      </c>
      <c r="D356" s="7" t="inlineStr">
        <is>
          <t>現象觀察</t>
        </is>
      </c>
      <c r="E356" s="12" t="inlineStr">
        <is>
          <t>出席資料</t>
        </is>
      </c>
      <c r="F356" s="8" t="inlineStr">
        <is>
          <t>行為資料的健康訊號</t>
        </is>
      </c>
      <c r="G356" s="7" t="inlineStr">
        <is>
          <t>產業媒體</t>
        </is>
      </c>
      <c r="H356" s="7" t="inlineStr">
        <is>
          <t>L1</t>
        </is>
      </c>
    </row>
    <row r="357">
      <c r="A357" s="10" t="inlineStr">
        <is>
          <t>C21-16</t>
        </is>
      </c>
      <c r="B357" s="10" t="inlineStr">
        <is>
          <t>C21 銀髮生活（非官方視角）</t>
        </is>
      </c>
      <c r="C357" s="11" t="inlineStr">
        <is>
          <t>長輩走路速度變慢，代表什麼</t>
        </is>
      </c>
      <c r="D357" s="10" t="inlineStr">
        <is>
          <t>冷知識</t>
        </is>
      </c>
      <c r="E357" s="12" t="inlineStr">
        <is>
          <t>步態與衰弱</t>
        </is>
      </c>
      <c r="F357" s="11" t="inlineStr">
        <is>
          <t>日常指標的健康意義</t>
        </is>
      </c>
      <c r="G357" s="10" t="inlineStr">
        <is>
          <t>Threads</t>
        </is>
      </c>
      <c r="H357" s="10" t="inlineStr">
        <is>
          <t>L0</t>
        </is>
      </c>
    </row>
    <row r="358">
      <c r="A358" s="7" t="inlineStr">
        <is>
          <t>C21-17</t>
        </is>
      </c>
      <c r="B358" s="7" t="inlineStr">
        <is>
          <t>C21 銀髮生活（非官方視角）</t>
        </is>
      </c>
      <c r="C358" s="8" t="inlineStr">
        <is>
          <t>如果守護是「不用他配合」的</t>
        </is>
      </c>
      <c r="D358" s="7" t="inlineStr">
        <is>
          <t>跨界類比</t>
        </is>
      </c>
      <c r="E358" s="12" t="inlineStr">
        <is>
          <t>無感配戴</t>
        </is>
      </c>
      <c r="F358" s="8" t="inlineStr">
        <is>
          <t>本案核心主張的生活化表達</t>
        </is>
      </c>
      <c r="G358" s="7" t="inlineStr">
        <is>
          <t>Threads</t>
        </is>
      </c>
      <c r="H358" s="7" t="inlineStr">
        <is>
          <t>L2</t>
        </is>
      </c>
    </row>
    <row r="359">
      <c r="A359" s="10" t="inlineStr">
        <is>
          <t>C22-01</t>
        </is>
      </c>
      <c r="B359" s="10" t="inlineStr">
        <is>
          <t>C22 身心障礙與特教</t>
        </is>
      </c>
      <c r="C359" s="11" t="inlineStr">
        <is>
          <t>自閉症孩子的遊走行為</t>
        </is>
      </c>
      <c r="D359" s="10" t="inlineStr">
        <is>
          <t>現象觀察</t>
        </is>
      </c>
      <c r="E359" s="12" t="inlineStr">
        <is>
          <t>電子圍籬</t>
        </is>
      </c>
      <c r="F359" s="11" t="inlineStr">
        <is>
          <t>非失智族群的同類需求</t>
        </is>
      </c>
      <c r="G359" s="10" t="inlineStr">
        <is>
          <t>FB 社團</t>
        </is>
      </c>
      <c r="H359" s="10" t="inlineStr">
        <is>
          <t>L1</t>
        </is>
      </c>
    </row>
    <row r="360">
      <c r="A360" s="7" t="inlineStr">
        <is>
          <t>C22-02</t>
        </is>
      </c>
      <c r="B360" s="7" t="inlineStr">
        <is>
          <t>C22 身心障礙與特教</t>
        </is>
      </c>
      <c r="C360" s="8" t="inlineStr">
        <is>
          <t>智能障礙者的走失通報比例</t>
        </is>
      </c>
      <c r="D360" s="7" t="inlineStr">
        <is>
          <t>市場調查</t>
        </is>
      </c>
      <c r="E360" s="12" t="inlineStr">
        <is>
          <t>警政統計</t>
        </is>
      </c>
      <c r="F360" s="8" t="inlineStr">
        <is>
          <t>族群風險的量化</t>
        </is>
      </c>
      <c r="G360" s="7" t="inlineStr">
        <is>
          <t>Threads</t>
        </is>
      </c>
      <c r="H360" s="7" t="inlineStr">
        <is>
          <t>L0</t>
        </is>
      </c>
    </row>
    <row r="361">
      <c r="A361" s="10" t="inlineStr">
        <is>
          <t>C22-03</t>
        </is>
      </c>
      <c r="B361" s="10" t="inlineStr">
        <is>
          <t>C22 身心障礙與特教</t>
        </is>
      </c>
      <c r="C361" s="11" t="inlineStr">
        <is>
          <t>特教學校的安全設計</t>
        </is>
      </c>
      <c r="D361" s="10" t="inlineStr">
        <is>
          <t>現象觀察</t>
        </is>
      </c>
      <c r="E361" s="12" t="inlineStr">
        <is>
          <t>區域判讀</t>
        </is>
      </c>
      <c r="F361" s="11" t="inlineStr">
        <is>
          <t>特殊教育場域</t>
        </is>
      </c>
      <c r="G361" s="10" t="inlineStr">
        <is>
          <t>產業媒體</t>
        </is>
      </c>
      <c r="H361" s="10" t="inlineStr">
        <is>
          <t>L1</t>
        </is>
      </c>
    </row>
    <row r="362">
      <c r="A362" s="7" t="inlineStr">
        <is>
          <t>C22-04</t>
        </is>
      </c>
      <c r="B362" s="7" t="inlineStr">
        <is>
          <t>C22 身心障礙與特教</t>
        </is>
      </c>
      <c r="C362" s="8" t="inlineStr">
        <is>
          <t>身障輔具補助，跟長照補助差在哪</t>
        </is>
      </c>
      <c r="D362" s="7" t="inlineStr">
        <is>
          <t>市場調查</t>
        </is>
      </c>
      <c r="E362" s="8" t="inlineStr">
        <is>
          <t>—</t>
        </is>
      </c>
      <c r="F362" s="8" t="inlineStr">
        <is>
          <t>兩套制度的釐清</t>
        </is>
      </c>
      <c r="G362" s="7" t="inlineStr">
        <is>
          <t>部落格</t>
        </is>
      </c>
      <c r="H362" s="7" t="inlineStr">
        <is>
          <t>L1</t>
        </is>
      </c>
    </row>
    <row r="363">
      <c r="A363" s="10" t="inlineStr">
        <is>
          <t>C22-05</t>
        </is>
      </c>
      <c r="B363" s="10" t="inlineStr">
        <is>
          <t>C22 身心障礙與特教</t>
        </is>
      </c>
      <c r="C363" s="11" t="inlineStr">
        <is>
          <t>視障者的室內導航，做到哪</t>
        </is>
      </c>
      <c r="D363" s="10" t="inlineStr">
        <is>
          <t>市場調查</t>
        </is>
      </c>
      <c r="E363" s="12" t="inlineStr">
        <is>
          <t>BLE Beacon 導盲</t>
        </is>
      </c>
      <c r="F363" s="11" t="inlineStr">
        <is>
          <t>無障礙科技的國際實作</t>
        </is>
      </c>
      <c r="G363" s="10" t="inlineStr">
        <is>
          <t>技術部落格</t>
        </is>
      </c>
      <c r="H363" s="10" t="inlineStr">
        <is>
          <t>L1</t>
        </is>
      </c>
    </row>
    <row r="364">
      <c r="A364" s="7" t="inlineStr">
        <is>
          <t>C22-06</t>
        </is>
      </c>
      <c r="B364" s="7" t="inlineStr">
        <is>
          <t>C22 身心障礙與特教</t>
        </is>
      </c>
      <c r="C364" s="8" t="inlineStr">
        <is>
          <t>聽障者的告警方式，不能只靠聲音</t>
        </is>
      </c>
      <c r="D364" s="7" t="inlineStr">
        <is>
          <t>現象觀察</t>
        </is>
      </c>
      <c r="E364" s="12" t="inlineStr">
        <is>
          <t>震動與閃光告警</t>
        </is>
      </c>
      <c r="F364" s="8" t="inlineStr">
        <is>
          <t>多感官告警設計</t>
        </is>
      </c>
      <c r="G364" s="7" t="inlineStr">
        <is>
          <t>技術部落格</t>
        </is>
      </c>
      <c r="H364" s="7" t="inlineStr">
        <is>
          <t>L1</t>
        </is>
      </c>
    </row>
    <row r="365">
      <c r="A365" s="10" t="inlineStr">
        <is>
          <t>C22-07</t>
        </is>
      </c>
      <c r="B365" s="10" t="inlineStr">
        <is>
          <t>C22 身心障礙與特教</t>
        </is>
      </c>
      <c r="C365" s="11" t="inlineStr">
        <is>
          <t>身心障礙者的就業與職場安全</t>
        </is>
      </c>
      <c r="D365" s="10" t="inlineStr">
        <is>
          <t>社會現狀</t>
        </is>
      </c>
      <c r="E365" s="11" t="inlineStr">
        <is>
          <t>—</t>
        </is>
      </c>
      <c r="F365" s="11" t="inlineStr">
        <is>
          <t>職場包容與安全</t>
        </is>
      </c>
      <c r="G365" s="10" t="inlineStr">
        <is>
          <t>Threads</t>
        </is>
      </c>
      <c r="H365" s="10" t="inlineStr">
        <is>
          <t>L0</t>
        </is>
      </c>
    </row>
    <row r="366">
      <c r="A366" s="7" t="inlineStr">
        <is>
          <t>C22-08</t>
        </is>
      </c>
      <c r="B366" s="7" t="inlineStr">
        <is>
          <t>C22 身心障礙與特教</t>
        </is>
      </c>
      <c r="C366" s="8" t="inlineStr">
        <is>
          <t>家長最怕孩子長大之後</t>
        </is>
      </c>
      <c r="D366" s="7" t="inlineStr">
        <is>
          <t>社會現狀</t>
        </is>
      </c>
      <c r="E366" s="8" t="inlineStr">
        <is>
          <t>—</t>
        </is>
      </c>
      <c r="F366" s="8" t="inlineStr">
        <is>
          <t>雙老家庭的長期焦慮</t>
        </is>
      </c>
      <c r="G366" s="7" t="inlineStr">
        <is>
          <t>FB 社團</t>
        </is>
      </c>
      <c r="H366" s="7" t="inlineStr">
        <is>
          <t>L0</t>
        </is>
      </c>
    </row>
    <row r="367">
      <c r="A367" s="10" t="inlineStr">
        <is>
          <t>C22-09</t>
        </is>
      </c>
      <c r="B367" s="10" t="inlineStr">
        <is>
          <t>C22 身心障礙與特教</t>
        </is>
      </c>
      <c r="C367" s="11" t="inlineStr">
        <is>
          <t>庇護工場的作業安全</t>
        </is>
      </c>
      <c r="D367" s="10" t="inlineStr">
        <is>
          <t>現象觀察</t>
        </is>
      </c>
      <c r="E367" s="12" t="inlineStr">
        <is>
          <t>區域管制</t>
        </is>
      </c>
      <c r="F367" s="11" t="inlineStr">
        <is>
          <t>特殊職場的安全</t>
        </is>
      </c>
      <c r="G367" s="10" t="inlineStr">
        <is>
          <t>產業媒體</t>
        </is>
      </c>
      <c r="H367" s="10" t="inlineStr">
        <is>
          <t>L1</t>
        </is>
      </c>
    </row>
    <row r="368">
      <c r="A368" s="7" t="inlineStr">
        <is>
          <t>C22-10</t>
        </is>
      </c>
      <c r="B368" s="7" t="inlineStr">
        <is>
          <t>C22 身心障礙與特教</t>
        </is>
      </c>
      <c r="C368" s="8" t="inlineStr">
        <is>
          <t>輔具評估人員在評什麼</t>
        </is>
      </c>
      <c r="D368" s="7" t="inlineStr">
        <is>
          <t>市場調查</t>
        </is>
      </c>
      <c r="E368" s="8" t="inlineStr">
        <is>
          <t>—</t>
        </is>
      </c>
      <c r="F368" s="8" t="inlineStr">
        <is>
          <t>專業流程的科普</t>
        </is>
      </c>
      <c r="G368" s="7" t="inlineStr">
        <is>
          <t>部落格</t>
        </is>
      </c>
      <c r="H368" s="7" t="inlineStr">
        <is>
          <t>L1</t>
        </is>
      </c>
    </row>
    <row r="369">
      <c r="A369" s="10" t="inlineStr">
        <is>
          <t>C22-11</t>
        </is>
      </c>
      <c r="B369" s="10" t="inlineStr">
        <is>
          <t>C22 身心障礙與特教</t>
        </is>
      </c>
      <c r="C369" s="11" t="inlineStr">
        <is>
          <t>無障礙路線的資訊，誰在維護</t>
        </is>
      </c>
      <c r="D369" s="10" t="inlineStr">
        <is>
          <t>社會現狀</t>
        </is>
      </c>
      <c r="E369" s="12" t="inlineStr">
        <is>
          <t>公共資料</t>
        </is>
      </c>
      <c r="F369" s="11" t="inlineStr">
        <is>
          <t>公共資訊的可及性</t>
        </is>
      </c>
      <c r="G369" s="10" t="inlineStr">
        <is>
          <t>Threads</t>
        </is>
      </c>
      <c r="H369" s="10" t="inlineStr">
        <is>
          <t>L0</t>
        </is>
      </c>
    </row>
    <row r="370">
      <c r="A370" s="7" t="inlineStr">
        <is>
          <t>C22-12</t>
        </is>
      </c>
      <c r="B370" s="7" t="inlineStr">
        <is>
          <t>C22 身心障礙與特教</t>
        </is>
      </c>
      <c r="C370" s="8" t="inlineStr">
        <is>
          <t>通用設計的原則，其實對所有人都好</t>
        </is>
      </c>
      <c r="D370" s="7" t="inlineStr">
        <is>
          <t>冷知識</t>
        </is>
      </c>
      <c r="E370" s="12" t="inlineStr">
        <is>
          <t>Universal Design</t>
        </is>
      </c>
      <c r="F370" s="8" t="inlineStr">
        <is>
          <t>設計哲學的普及</t>
        </is>
      </c>
      <c r="G370" s="7" t="inlineStr">
        <is>
          <t>Threads</t>
        </is>
      </c>
      <c r="H370" s="7" t="inlineStr">
        <is>
          <t>L0</t>
        </is>
      </c>
    </row>
    <row r="371">
      <c r="A371" s="10" t="inlineStr">
        <is>
          <t>C22-13</t>
        </is>
      </c>
      <c r="B371" s="10" t="inlineStr">
        <is>
          <t>C22 身心障礙與特教</t>
        </is>
      </c>
      <c r="C371" s="11" t="inlineStr">
        <is>
          <t>特殊需求者的定位，同意誰來給</t>
        </is>
      </c>
      <c r="D371" s="10" t="inlineStr">
        <is>
          <t>社會現狀</t>
        </is>
      </c>
      <c r="E371" s="12" t="inlineStr">
        <is>
          <t>知情同意</t>
        </is>
      </c>
      <c r="F371" s="11" t="inlineStr">
        <is>
          <t>倫理的核心問題</t>
        </is>
      </c>
      <c r="G371" s="10" t="inlineStr">
        <is>
          <t>Threads</t>
        </is>
      </c>
      <c r="H371" s="10" t="inlineStr">
        <is>
          <t>L1</t>
        </is>
      </c>
    </row>
    <row r="372">
      <c r="A372" s="7" t="inlineStr">
        <is>
          <t>C22-14</t>
        </is>
      </c>
      <c r="B372" s="7" t="inlineStr">
        <is>
          <t>C22 身心障礙與特教</t>
        </is>
      </c>
      <c r="C372" s="8" t="inlineStr">
        <is>
          <t>復康巴士的預約，為什麼這麼難</t>
        </is>
      </c>
      <c r="D372" s="7" t="inlineStr">
        <is>
          <t>市場調查</t>
        </is>
      </c>
      <c r="E372" s="12" t="inlineStr">
        <is>
          <t>派遣系統</t>
        </is>
      </c>
      <c r="F372" s="8" t="inlineStr">
        <is>
          <t>無障礙運輸的供需</t>
        </is>
      </c>
      <c r="G372" s="7" t="inlineStr">
        <is>
          <t>Threads</t>
        </is>
      </c>
      <c r="H372" s="7" t="inlineStr">
        <is>
          <t>L0</t>
        </is>
      </c>
    </row>
    <row r="373">
      <c r="A373" s="10" t="inlineStr">
        <is>
          <t>C22-15</t>
        </is>
      </c>
      <c r="B373" s="10" t="inlineStr">
        <is>
          <t>C22 身心障礙與特教</t>
        </is>
      </c>
      <c r="C373" s="11" t="inlineStr">
        <is>
          <t>日間作業設施的人員管理</t>
        </is>
      </c>
      <c r="D373" s="10" t="inlineStr">
        <is>
          <t>現象觀察</t>
        </is>
      </c>
      <c r="E373" s="12" t="inlineStr">
        <is>
          <t>區域判讀</t>
        </is>
      </c>
      <c r="F373" s="11" t="inlineStr">
        <is>
          <t>特殊場域的日常管理</t>
        </is>
      </c>
      <c r="G373" s="10" t="inlineStr">
        <is>
          <t>產業媒體</t>
        </is>
      </c>
      <c r="H373" s="10" t="inlineStr">
        <is>
          <t>L1</t>
        </is>
      </c>
    </row>
    <row r="374">
      <c r="A374" s="7" t="inlineStr">
        <is>
          <t>C22-16</t>
        </is>
      </c>
      <c r="B374" s="7" t="inlineStr">
        <is>
          <t>C22 身心障礙與特教</t>
        </is>
      </c>
      <c r="C374" s="8" t="inlineStr">
        <is>
          <t>雙老家庭的長期照顧規劃</t>
        </is>
      </c>
      <c r="D374" s="7" t="inlineStr">
        <is>
          <t>社會現狀</t>
        </is>
      </c>
      <c r="E374" s="8" t="inlineStr">
        <is>
          <t>—</t>
        </is>
      </c>
      <c r="F374" s="8" t="inlineStr">
        <is>
          <t>高齡＋身障的雙重議題</t>
        </is>
      </c>
      <c r="G374" s="7" t="inlineStr">
        <is>
          <t>部落格</t>
        </is>
      </c>
      <c r="H374" s="7" t="inlineStr">
        <is>
          <t>L0</t>
        </is>
      </c>
    </row>
    <row r="375">
      <c r="A375" s="10" t="inlineStr">
        <is>
          <t>C22-17</t>
        </is>
      </c>
      <c r="B375" s="10" t="inlineStr">
        <is>
          <t>C22 身心障礙與特教</t>
        </is>
      </c>
      <c r="C375" s="11" t="inlineStr">
        <is>
          <t>非侵入式守護，怎麼定義</t>
        </is>
      </c>
      <c r="D375" s="10" t="inlineStr">
        <is>
          <t>跨界類比</t>
        </is>
      </c>
      <c r="E375" s="12" t="inlineStr">
        <is>
          <t>無感配戴</t>
        </is>
      </c>
      <c r="F375" s="11" t="inlineStr">
        <is>
          <t>核心主張的族群延伸</t>
        </is>
      </c>
      <c r="G375" s="10" t="inlineStr">
        <is>
          <t>產業媒體</t>
        </is>
      </c>
      <c r="H375" s="10" t="inlineStr">
        <is>
          <t>L2</t>
        </is>
      </c>
    </row>
    <row r="376">
      <c r="A376" s="7" t="inlineStr">
        <is>
          <t>C23-01</t>
        </is>
      </c>
      <c r="B376" s="7" t="inlineStr">
        <is>
          <t>C23 3C 玩物與收藏</t>
        </is>
      </c>
      <c r="C376" s="8" t="inlineStr">
        <is>
          <t>防丟標籤十年演進史</t>
        </is>
      </c>
      <c r="D376" s="7" t="inlineStr">
        <is>
          <t>現象觀察</t>
        </is>
      </c>
      <c r="E376" s="12" t="inlineStr">
        <is>
          <t>Tile｜AirTag｜SmartTag｜Find Hub</t>
        </is>
      </c>
      <c r="F376" s="8" t="inlineStr">
        <is>
          <t>品類演進的國際視角</t>
        </is>
      </c>
      <c r="G376" s="7" t="inlineStr">
        <is>
          <t>Mobile01</t>
        </is>
      </c>
      <c r="H376" s="7" t="inlineStr">
        <is>
          <t>L2</t>
        </is>
      </c>
    </row>
    <row r="377">
      <c r="A377" s="10" t="inlineStr">
        <is>
          <t>C23-02</t>
        </is>
      </c>
      <c r="B377" s="10" t="inlineStr">
        <is>
          <t>C23 3C 玩物與收藏</t>
        </is>
      </c>
      <c r="C377" s="11" t="inlineStr">
        <is>
          <t>Bluetooth 6.0 帶來了什麼</t>
        </is>
      </c>
      <c r="D377" s="10" t="inlineStr">
        <is>
          <t>冷知識</t>
        </is>
      </c>
      <c r="E377" s="12" t="inlineStr">
        <is>
          <t>Bluetooth Channel Sounding (Core 6.0, 2024)</t>
        </is>
      </c>
      <c r="F377" s="11" t="inlineStr">
        <is>
          <t>最新標準的科普</t>
        </is>
      </c>
      <c r="G377" s="10" t="inlineStr">
        <is>
          <t>Mobile01／技術部落格</t>
        </is>
      </c>
      <c r="H377" s="10" t="inlineStr">
        <is>
          <t>L2</t>
        </is>
      </c>
    </row>
    <row r="378">
      <c r="A378" s="7" t="inlineStr">
        <is>
          <t>C23-03</t>
        </is>
      </c>
      <c r="B378" s="7" t="inlineStr">
        <is>
          <t>C23 3C 玩物與收藏</t>
        </is>
      </c>
      <c r="C378" s="8" t="inlineStr">
        <is>
          <t>UWB 與藍牙測距，差在哪</t>
        </is>
      </c>
      <c r="D378" s="7" t="inlineStr">
        <is>
          <t>冷知識</t>
        </is>
      </c>
      <c r="E378" s="12" t="inlineStr">
        <is>
          <t>FiRa UWB｜IEEE 802.15.4z/4ab</t>
        </is>
      </c>
      <c r="F378" s="8" t="inlineStr">
        <is>
          <t>兩大技術路線的對比</t>
        </is>
      </c>
      <c r="G378" s="7" t="inlineStr">
        <is>
          <t>技術部落格</t>
        </is>
      </c>
      <c r="H378" s="7" t="inlineStr">
        <is>
          <t>L2</t>
        </is>
      </c>
    </row>
    <row r="379">
      <c r="A379" s="10" t="inlineStr">
        <is>
          <t>C23-04</t>
        </is>
      </c>
      <c r="B379" s="10" t="inlineStr">
        <is>
          <t>C23 3C 玩物與收藏</t>
        </is>
      </c>
      <c r="C379" s="11" t="inlineStr">
        <is>
          <t>為什麼 UWB 吃電這麼兇</t>
        </is>
      </c>
      <c r="D379" s="10" t="inlineStr">
        <is>
          <t>冷知識</t>
        </is>
      </c>
      <c r="E379" s="12" t="inlineStr">
        <is>
          <t>UWB Tx 45-75mA vs BLE 4-6.5mA</t>
        </is>
      </c>
      <c r="F379" s="11" t="inlineStr">
        <is>
          <t>功耗差異的具體數字</t>
        </is>
      </c>
      <c r="G379" s="10" t="inlineStr">
        <is>
          <t>技術部落格</t>
        </is>
      </c>
      <c r="H379" s="10" t="inlineStr">
        <is>
          <t>L2</t>
        </is>
      </c>
    </row>
    <row r="380">
      <c r="A380" s="7" t="inlineStr">
        <is>
          <t>C23-05</t>
        </is>
      </c>
      <c r="B380" s="7" t="inlineStr">
        <is>
          <t>C23 3C 玩物與收藏</t>
        </is>
      </c>
      <c r="C380" s="8" t="inlineStr">
        <is>
          <t>CR2032 到底能撐多久</t>
        </is>
      </c>
      <c r="D380" s="7" t="inlineStr">
        <is>
          <t>冷知識</t>
        </is>
      </c>
      <c r="E380" s="12" t="inlineStr">
        <is>
          <t>鈕扣電池能量預算</t>
        </is>
      </c>
      <c r="F380" s="8" t="inlineStr">
        <is>
          <t>續航的物理極限</t>
        </is>
      </c>
      <c r="G380" s="7" t="inlineStr">
        <is>
          <t>Mobile01</t>
        </is>
      </c>
      <c r="H380" s="7" t="inlineStr">
        <is>
          <t>L2</t>
        </is>
      </c>
    </row>
    <row r="381">
      <c r="A381" s="10" t="inlineStr">
        <is>
          <t>C23-06</t>
        </is>
      </c>
      <c r="B381" s="10" t="inlineStr">
        <is>
          <t>C23 3C 玩物與收藏</t>
        </is>
      </c>
      <c r="C381" s="11" t="inlineStr">
        <is>
          <t>Find My 與 Find Hub 網路，誰比較大</t>
        </is>
      </c>
      <c r="D381" s="10" t="inlineStr">
        <is>
          <t>市場調查</t>
        </is>
      </c>
      <c r="E381" s="12" t="inlineStr">
        <is>
          <t>Apple Find My｜Google Find Hub</t>
        </is>
      </c>
      <c r="F381" s="11" t="inlineStr">
        <is>
          <t>群眾網路規模的關鍵</t>
        </is>
      </c>
      <c r="G381" s="10" t="inlineStr">
        <is>
          <t>Mobile01</t>
        </is>
      </c>
      <c r="H381" s="10" t="inlineStr">
        <is>
          <t>L2</t>
        </is>
      </c>
    </row>
    <row r="382">
      <c r="A382" s="7" t="inlineStr">
        <is>
          <t>C23-07</t>
        </is>
      </c>
      <c r="B382" s="7" t="inlineStr">
        <is>
          <t>C23 3C 玩物與收藏</t>
        </is>
      </c>
      <c r="C382" s="8" t="inlineStr">
        <is>
          <t>反追蹤警示是怎麼運作的</t>
        </is>
      </c>
      <c r="D382" s="7" t="inlineStr">
        <is>
          <t>冷知識</t>
        </is>
      </c>
      <c r="E382" s="12" t="inlineStr">
        <is>
          <t>IETF DULT 工作組</t>
        </is>
      </c>
      <c r="F382" s="8" t="inlineStr">
        <is>
          <t>國際標準的隱私設計</t>
        </is>
      </c>
      <c r="G382" s="7" t="inlineStr">
        <is>
          <t>Mobile01／技術部落格</t>
        </is>
      </c>
      <c r="H382" s="7" t="inlineStr">
        <is>
          <t>L2</t>
        </is>
      </c>
    </row>
    <row r="383">
      <c r="A383" s="10" t="inlineStr">
        <is>
          <t>C23-08</t>
        </is>
      </c>
      <c r="B383" s="10" t="inlineStr">
        <is>
          <t>C23 3C 玩物與收藏</t>
        </is>
      </c>
      <c r="C383" s="11" t="inlineStr">
        <is>
          <t>AoA、AoD、RSSI、Channel Sounding 一次搞懂</t>
        </is>
      </c>
      <c r="D383" s="10" t="inlineStr">
        <is>
          <t>冷知識</t>
        </is>
      </c>
      <c r="E383" s="12" t="inlineStr">
        <is>
          <t>Bluetooth 5.1 DF｜Core 6.0 CS</t>
        </is>
      </c>
      <c r="F383" s="11" t="inlineStr">
        <is>
          <t>技術名詞的白話翻譯</t>
        </is>
      </c>
      <c r="G383" s="10" t="inlineStr">
        <is>
          <t>技術部落格</t>
        </is>
      </c>
      <c r="H383" s="10" t="inlineStr">
        <is>
          <t>L2</t>
        </is>
      </c>
    </row>
    <row r="384">
      <c r="A384" s="7" t="inlineStr">
        <is>
          <t>C23-09</t>
        </is>
      </c>
      <c r="B384" s="7" t="inlineStr">
        <is>
          <t>C23 3C 玩物與收藏</t>
        </is>
      </c>
      <c r="C384" s="8" t="inlineStr">
        <is>
          <t>學術實測怎麼說 Channel Sounding</t>
        </is>
      </c>
      <c r="D384" s="7" t="inlineStr">
        <is>
          <t>市場調查</t>
        </is>
      </c>
      <c r="E384" s="12" t="inlineStr">
        <is>
          <t>IEEE Access 2025 實測論文</t>
        </is>
      </c>
      <c r="F384" s="8" t="inlineStr">
        <is>
          <t>誠實引用學術結論</t>
        </is>
      </c>
      <c r="G384" s="7" t="inlineStr">
        <is>
          <t>技術部落格</t>
        </is>
      </c>
      <c r="H384" s="7" t="inlineStr">
        <is>
          <t>L2</t>
        </is>
      </c>
    </row>
    <row r="385">
      <c r="A385" s="10" t="inlineStr">
        <is>
          <t>C23-10</t>
        </is>
      </c>
      <c r="B385" s="10" t="inlineStr">
        <is>
          <t>C23 3C 玩物與收藏</t>
        </is>
      </c>
      <c r="C385" s="11" t="inlineStr">
        <is>
          <t>為什麼手機廠都在做尋找網路</t>
        </is>
      </c>
      <c r="D385" s="10" t="inlineStr">
        <is>
          <t>現象觀察</t>
        </is>
      </c>
      <c r="E385" s="12" t="inlineStr">
        <is>
          <t>Apple｜Google｜Samsung</t>
        </is>
      </c>
      <c r="F385" s="11" t="inlineStr">
        <is>
          <t>平台戰爭的觀察</t>
        </is>
      </c>
      <c r="G385" s="10" t="inlineStr">
        <is>
          <t>Mobile01</t>
        </is>
      </c>
      <c r="H385" s="10" t="inlineStr">
        <is>
          <t>L1</t>
        </is>
      </c>
    </row>
    <row r="386">
      <c r="A386" s="7" t="inlineStr">
        <is>
          <t>C23-11</t>
        </is>
      </c>
      <c r="B386" s="7" t="inlineStr">
        <is>
          <t>C23 3C 玩物與收藏</t>
        </is>
      </c>
      <c r="C386" s="8" t="inlineStr">
        <is>
          <t>把標籤塞進鞋子，國外早有人做</t>
        </is>
      </c>
      <c r="D386" s="7" t="inlineStr">
        <is>
          <t>市場調查</t>
        </is>
      </c>
      <c r="E386" s="12" t="inlineStr">
        <is>
          <t>智慧鞋墊／鞋內感測</t>
        </is>
      </c>
      <c r="F386" s="8" t="inlineStr">
        <is>
          <t>無感載體的國際先例</t>
        </is>
      </c>
      <c r="G386" s="7" t="inlineStr">
        <is>
          <t>Mobile01</t>
        </is>
      </c>
      <c r="H386" s="7" t="inlineStr">
        <is>
          <t>L2</t>
        </is>
      </c>
    </row>
    <row r="387">
      <c r="A387" s="10" t="inlineStr">
        <is>
          <t>C23-12</t>
        </is>
      </c>
      <c r="B387" s="10" t="inlineStr">
        <is>
          <t>C23 3C 玩物與收藏</t>
        </is>
      </c>
      <c r="C387" s="11" t="inlineStr">
        <is>
          <t>開箱一顆只有廣播功能的標籤</t>
        </is>
      </c>
      <c r="D387" s="10" t="inlineStr">
        <is>
          <t>個人發現</t>
        </is>
      </c>
      <c r="E387" s="12" t="inlineStr">
        <is>
          <t>BLE Beacon</t>
        </is>
      </c>
      <c r="F387" s="11" t="inlineStr">
        <is>
          <t>最簡單的定位裝置長什麼樣</t>
        </is>
      </c>
      <c r="G387" s="10" t="inlineStr">
        <is>
          <t>Mobile01</t>
        </is>
      </c>
      <c r="H387" s="10" t="inlineStr">
        <is>
          <t>L2</t>
        </is>
      </c>
    </row>
    <row r="388">
      <c r="A388" s="7" t="inlineStr">
        <is>
          <t>C23-13</t>
        </is>
      </c>
      <c r="B388" s="7" t="inlineStr">
        <is>
          <t>C23 3C 玩物與收藏</t>
        </is>
      </c>
      <c r="C388" s="8" t="inlineStr">
        <is>
          <t>為什麼有些標籤不用配對</t>
        </is>
      </c>
      <c r="D388" s="7" t="inlineStr">
        <is>
          <t>冷知識</t>
        </is>
      </c>
      <c r="E388" s="12" t="inlineStr">
        <is>
          <t>廣播 vs 連線</t>
        </is>
      </c>
      <c r="F388" s="8" t="inlineStr">
        <is>
          <t>技術原理科普</t>
        </is>
      </c>
      <c r="G388" s="7" t="inlineStr">
        <is>
          <t>技術部落格</t>
        </is>
      </c>
      <c r="H388" s="7" t="inlineStr">
        <is>
          <t>L1</t>
        </is>
      </c>
    </row>
    <row r="389">
      <c r="A389" s="10" t="inlineStr">
        <is>
          <t>C23-14</t>
        </is>
      </c>
      <c r="B389" s="10" t="inlineStr">
        <is>
          <t>C23 3C 玩物與收藏</t>
        </is>
      </c>
      <c r="C389" s="11" t="inlineStr">
        <is>
          <t>台灣的定位新創在做什麼</t>
        </is>
      </c>
      <c r="D389" s="10" t="inlineStr">
        <is>
          <t>市場調查</t>
        </is>
      </c>
      <c r="E389" s="12" t="inlineStr">
        <is>
          <t>本土 RTLS 廠商</t>
        </is>
      </c>
      <c r="F389" s="11" t="inlineStr">
        <is>
          <t>產業盤點</t>
        </is>
      </c>
      <c r="G389" s="10" t="inlineStr">
        <is>
          <t>Mobile01</t>
        </is>
      </c>
      <c r="H389" s="10" t="inlineStr">
        <is>
          <t>L2</t>
        </is>
      </c>
    </row>
    <row r="390">
      <c r="A390" s="7" t="inlineStr">
        <is>
          <t>C23-15</t>
        </is>
      </c>
      <c r="B390" s="7" t="inlineStr">
        <is>
          <t>C23 3C 玩物與收藏</t>
        </is>
      </c>
      <c r="C390" s="8" t="inlineStr">
        <is>
          <t>定位技術的下一個十年</t>
        </is>
      </c>
      <c r="D390" s="7" t="inlineStr">
        <is>
          <t>現象觀察</t>
        </is>
      </c>
      <c r="E390" s="12" t="inlineStr">
        <is>
          <t>GNSS＋室內測距融合</t>
        </is>
      </c>
      <c r="F390" s="8" t="inlineStr">
        <is>
          <t>國際技術路線圖</t>
        </is>
      </c>
      <c r="G390" s="7" t="inlineStr">
        <is>
          <t>技術部落格</t>
        </is>
      </c>
      <c r="H390" s="7" t="inlineStr">
        <is>
          <t>L1</t>
        </is>
      </c>
    </row>
    <row r="391">
      <c r="A391" s="10" t="inlineStr">
        <is>
          <t>C23-16</t>
        </is>
      </c>
      <c r="B391" s="10" t="inlineStr">
        <is>
          <t>C23 3C 玩物與收藏</t>
        </is>
      </c>
      <c r="C391" s="11" t="inlineStr">
        <is>
          <t>我把四種標籤帶去地下室</t>
        </is>
      </c>
      <c r="D391" s="10" t="inlineStr">
        <is>
          <t>個人發現</t>
        </is>
      </c>
      <c r="E391" s="12" t="inlineStr">
        <is>
          <t>多技術實測</t>
        </is>
      </c>
      <c r="F391" s="11" t="inlineStr">
        <is>
          <t>誠實實測的價值</t>
        </is>
      </c>
      <c r="G391" s="10" t="inlineStr">
        <is>
          <t>Mobile01／YouTube</t>
        </is>
      </c>
      <c r="H391" s="10" t="inlineStr">
        <is>
          <t>L2</t>
        </is>
      </c>
    </row>
    <row r="392">
      <c r="A392" s="7" t="inlineStr">
        <is>
          <t>C23-17</t>
        </is>
      </c>
      <c r="B392" s="7" t="inlineStr">
        <is>
          <t>C23 3C 玩物與收藏</t>
        </is>
      </c>
      <c r="C392" s="8" t="inlineStr">
        <is>
          <t>定位不等於追蹤，差在哪</t>
        </is>
      </c>
      <c r="D392" s="7" t="inlineStr">
        <is>
          <t>冷知識</t>
        </is>
      </c>
      <c r="E392" s="12" t="inlineStr">
        <is>
          <t>回報型 vs 追蹤型</t>
        </is>
      </c>
      <c r="F392" s="8" t="inlineStr">
        <is>
          <t>本案最核心的觀念澄清</t>
        </is>
      </c>
      <c r="G392" s="7" t="inlineStr">
        <is>
          <t>Mobile01／Threads</t>
        </is>
      </c>
      <c r="H392" s="7" t="inlineStr">
        <is>
          <t>L2</t>
        </is>
      </c>
    </row>
    <row r="393">
      <c r="A393" s="10" t="inlineStr">
        <is>
          <t>C24-01</t>
        </is>
      </c>
      <c r="B393" s="10" t="inlineStr">
        <is>
          <t>C24 職場管理與人資</t>
        </is>
      </c>
      <c r="C393" s="11" t="inlineStr">
        <is>
          <t>員工定位，法律上能做到哪</t>
        </is>
      </c>
      <c r="D393" s="10" t="inlineStr">
        <is>
          <t>社會現狀</t>
        </is>
      </c>
      <c r="E393" s="12" t="inlineStr">
        <is>
          <t>勞動法規</t>
        </is>
      </c>
      <c r="F393" s="11" t="inlineStr">
        <is>
          <t>界線的法律基礎</t>
        </is>
      </c>
      <c r="G393" s="10" t="inlineStr">
        <is>
          <t>LinkedIn</t>
        </is>
      </c>
      <c r="H393" s="10" t="inlineStr">
        <is>
          <t>L1</t>
        </is>
      </c>
    </row>
    <row r="394">
      <c r="A394" s="7" t="inlineStr">
        <is>
          <t>C24-02</t>
        </is>
      </c>
      <c r="B394" s="7" t="inlineStr">
        <is>
          <t>C24 職場管理與人資</t>
        </is>
      </c>
      <c r="C394" s="8" t="inlineStr">
        <is>
          <t>去識別化統計，為什麼阻力最小</t>
        </is>
      </c>
      <c r="D394" s="7" t="inlineStr">
        <is>
          <t>現象觀察</t>
        </is>
      </c>
      <c r="E394" s="12" t="inlineStr">
        <is>
          <t>群體統計</t>
        </is>
      </c>
      <c r="F394" s="8" t="inlineStr">
        <is>
          <t>導入方法論</t>
        </is>
      </c>
      <c r="G394" s="7" t="inlineStr">
        <is>
          <t>LinkedIn</t>
        </is>
      </c>
      <c r="H394" s="7" t="inlineStr">
        <is>
          <t>L2</t>
        </is>
      </c>
    </row>
    <row r="395">
      <c r="A395" s="10" t="inlineStr">
        <is>
          <t>C24-03</t>
        </is>
      </c>
      <c r="B395" s="10" t="inlineStr">
        <is>
          <t>C24 職場管理與人資</t>
        </is>
      </c>
      <c r="C395" s="11" t="inlineStr">
        <is>
          <t>出勤管理從打卡機到什麼</t>
        </is>
      </c>
      <c r="D395" s="10" t="inlineStr">
        <is>
          <t>現象觀察</t>
        </is>
      </c>
      <c r="E395" s="12" t="inlineStr">
        <is>
          <t>BLE 區域感測</t>
        </is>
      </c>
      <c r="F395" s="11" t="inlineStr">
        <is>
          <t>管理工具的演進</t>
        </is>
      </c>
      <c r="G395" s="10" t="inlineStr">
        <is>
          <t>LinkedIn</t>
        </is>
      </c>
      <c r="H395" s="10" t="inlineStr">
        <is>
          <t>L1</t>
        </is>
      </c>
    </row>
    <row r="396">
      <c r="A396" s="7" t="inlineStr">
        <is>
          <t>C24-04</t>
        </is>
      </c>
      <c r="B396" s="7" t="inlineStr">
        <is>
          <t>C24 職場管理與人資</t>
        </is>
      </c>
      <c r="C396" s="8" t="inlineStr">
        <is>
          <t>新人訓練，老師傅的路徑能被學會嗎</t>
        </is>
      </c>
      <c r="D396" s="7" t="inlineStr">
        <is>
          <t>現象觀察</t>
        </is>
      </c>
      <c r="E396" s="12" t="inlineStr">
        <is>
          <t>軌跡與動線分析</t>
        </is>
      </c>
      <c r="F396" s="8" t="inlineStr">
        <is>
          <t>隱性知識的顯性化</t>
        </is>
      </c>
      <c r="G396" s="7" t="inlineStr">
        <is>
          <t>LinkedIn</t>
        </is>
      </c>
      <c r="H396" s="7" t="inlineStr">
        <is>
          <t>L2</t>
        </is>
      </c>
    </row>
    <row r="397">
      <c r="A397" s="10" t="inlineStr">
        <is>
          <t>C24-05</t>
        </is>
      </c>
      <c r="B397" s="10" t="inlineStr">
        <is>
          <t>C24 職場管理與人資</t>
        </is>
      </c>
      <c r="C397" s="11" t="inlineStr">
        <is>
          <t>你願意讓公司知道你去廁所幾次嗎</t>
        </is>
      </c>
      <c r="D397" s="10" t="inlineStr">
        <is>
          <t>問卷調查</t>
        </is>
      </c>
      <c r="E397" s="12" t="inlineStr">
        <is>
          <t>倫理紅線</t>
        </is>
      </c>
      <c r="F397" s="11" t="inlineStr">
        <is>
          <t>界線的具體化討論</t>
        </is>
      </c>
      <c r="G397" s="10" t="inlineStr">
        <is>
          <t>Dcard</t>
        </is>
      </c>
      <c r="H397" s="10" t="inlineStr">
        <is>
          <t>L0</t>
        </is>
      </c>
    </row>
    <row r="398">
      <c r="A398" s="7" t="inlineStr">
        <is>
          <t>C24-06</t>
        </is>
      </c>
      <c r="B398" s="7" t="inlineStr">
        <is>
          <t>C24 職場管理與人資</t>
        </is>
      </c>
      <c r="C398" s="8" t="inlineStr">
        <is>
          <t>工安事故後的檢討會，怎麼開</t>
        </is>
      </c>
      <c r="D398" s="7" t="inlineStr">
        <is>
          <t>現象觀察</t>
        </is>
      </c>
      <c r="E398" s="12" t="inlineStr">
        <is>
          <t>事件回溯</t>
        </is>
      </c>
      <c r="F398" s="8" t="inlineStr">
        <is>
          <t>紀錄的管理價值</t>
        </is>
      </c>
      <c r="G398" s="7" t="inlineStr">
        <is>
          <t>LinkedIn</t>
        </is>
      </c>
      <c r="H398" s="7" t="inlineStr">
        <is>
          <t>L1</t>
        </is>
      </c>
    </row>
    <row r="399">
      <c r="A399" s="10" t="inlineStr">
        <is>
          <t>C24-07</t>
        </is>
      </c>
      <c r="B399" s="10" t="inlineStr">
        <is>
          <t>C24 職場管理與人資</t>
        </is>
      </c>
      <c r="C399" s="11" t="inlineStr">
        <is>
          <t>高齡員工的職務再設計</t>
        </is>
      </c>
      <c r="D399" s="10" t="inlineStr">
        <is>
          <t>社會現狀</t>
        </is>
      </c>
      <c r="E399" s="11" t="inlineStr">
        <is>
          <t>—</t>
        </is>
      </c>
      <c r="F399" s="11" t="inlineStr">
        <is>
          <t>勞動力高齡化的因應</t>
        </is>
      </c>
      <c r="G399" s="10" t="inlineStr">
        <is>
          <t>產業媒體</t>
        </is>
      </c>
      <c r="H399" s="10" t="inlineStr">
        <is>
          <t>L0</t>
        </is>
      </c>
    </row>
    <row r="400">
      <c r="A400" s="7" t="inlineStr">
        <is>
          <t>C24-08</t>
        </is>
      </c>
      <c r="B400" s="7" t="inlineStr">
        <is>
          <t>C24 職場管理與人資</t>
        </is>
      </c>
      <c r="C400" s="8" t="inlineStr">
        <is>
          <t>多廠區的人員調度</t>
        </is>
      </c>
      <c r="D400" s="7" t="inlineStr">
        <is>
          <t>現象觀察</t>
        </is>
      </c>
      <c r="E400" s="12" t="inlineStr">
        <is>
          <t>跨場域定位</t>
        </is>
      </c>
      <c r="F400" s="8" t="inlineStr">
        <is>
          <t>大型組織的管理</t>
        </is>
      </c>
      <c r="G400" s="7" t="inlineStr">
        <is>
          <t>LinkedIn</t>
        </is>
      </c>
      <c r="H400" s="7" t="inlineStr">
        <is>
          <t>L1</t>
        </is>
      </c>
    </row>
    <row r="401">
      <c r="A401" s="10" t="inlineStr">
        <is>
          <t>C24-09</t>
        </is>
      </c>
      <c r="B401" s="10" t="inlineStr">
        <is>
          <t>C24 職場管理與人資</t>
        </is>
      </c>
      <c r="C401" s="11" t="inlineStr">
        <is>
          <t>員工手機當接收器，同意嗎</t>
        </is>
      </c>
      <c r="D401" s="10" t="inlineStr">
        <is>
          <t>問卷調查</t>
        </is>
      </c>
      <c r="E401" s="12" t="inlineStr">
        <is>
          <t>員工 App 接收</t>
        </is>
      </c>
      <c r="F401" s="11" t="inlineStr">
        <is>
          <t>零硬體方案的倫理前提</t>
        </is>
      </c>
      <c r="G401" s="10" t="inlineStr">
        <is>
          <t>LinkedIn</t>
        </is>
      </c>
      <c r="H401" s="10" t="inlineStr">
        <is>
          <t>L2</t>
        </is>
      </c>
    </row>
    <row r="402">
      <c r="A402" s="7" t="inlineStr">
        <is>
          <t>C24-10</t>
        </is>
      </c>
      <c r="B402" s="7" t="inlineStr">
        <is>
          <t>C24 職場管理與人資</t>
        </is>
      </c>
      <c r="C402" s="8" t="inlineStr">
        <is>
          <t>科技導入最大的阻力是什麼</t>
        </is>
      </c>
      <c r="D402" s="7" t="inlineStr">
        <is>
          <t>問卷調查</t>
        </is>
      </c>
      <c r="E402" s="8" t="inlineStr">
        <is>
          <t>—</t>
        </is>
      </c>
      <c r="F402" s="8" t="inlineStr">
        <is>
          <t>導入阻力的通用題</t>
        </is>
      </c>
      <c r="G402" s="7" t="inlineStr">
        <is>
          <t>LinkedIn</t>
        </is>
      </c>
      <c r="H402" s="7" t="inlineStr">
        <is>
          <t>L1</t>
        </is>
      </c>
    </row>
    <row r="403">
      <c r="A403" s="10" t="inlineStr">
        <is>
          <t>C24-11</t>
        </is>
      </c>
      <c r="B403" s="10" t="inlineStr">
        <is>
          <t>C24 職場管理與人資</t>
        </is>
      </c>
      <c r="C403" s="11" t="inlineStr">
        <is>
          <t>交接不清楚，一年浪費多少成本</t>
        </is>
      </c>
      <c r="D403" s="10" t="inlineStr">
        <is>
          <t>市場調查</t>
        </is>
      </c>
      <c r="E403" s="12" t="inlineStr">
        <is>
          <t>交班紀錄</t>
        </is>
      </c>
      <c r="F403" s="11" t="inlineStr">
        <is>
          <t>交班空白的成本</t>
        </is>
      </c>
      <c r="G403" s="10" t="inlineStr">
        <is>
          <t>LinkedIn</t>
        </is>
      </c>
      <c r="H403" s="10" t="inlineStr">
        <is>
          <t>L1</t>
        </is>
      </c>
    </row>
    <row r="404">
      <c r="A404" s="7" t="inlineStr">
        <is>
          <t>C24-12</t>
        </is>
      </c>
      <c r="B404" s="7" t="inlineStr">
        <is>
          <t>C24 職場管理與人資</t>
        </is>
      </c>
      <c r="C404" s="8" t="inlineStr">
        <is>
          <t>遠距與現場混合的管理難題</t>
        </is>
      </c>
      <c r="D404" s="7" t="inlineStr">
        <is>
          <t>現象觀察</t>
        </is>
      </c>
      <c r="E404" s="8" t="inlineStr">
        <is>
          <t>—</t>
        </is>
      </c>
      <c r="F404" s="8" t="inlineStr">
        <is>
          <t>新型態工作的管理</t>
        </is>
      </c>
      <c r="G404" s="7" t="inlineStr">
        <is>
          <t>LinkedIn</t>
        </is>
      </c>
      <c r="H404" s="7" t="inlineStr">
        <is>
          <t>L0</t>
        </is>
      </c>
    </row>
    <row r="405">
      <c r="A405" s="10" t="inlineStr">
        <is>
          <t>C24-13</t>
        </is>
      </c>
      <c r="B405" s="10" t="inlineStr">
        <is>
          <t>C24 職場管理與人資</t>
        </is>
      </c>
      <c r="C405" s="11" t="inlineStr">
        <is>
          <t>企業的 ESG 報告，需要什麼資料</t>
        </is>
      </c>
      <c r="D405" s="10" t="inlineStr">
        <is>
          <t>現象觀察</t>
        </is>
      </c>
      <c r="E405" s="12" t="inlineStr">
        <is>
          <t>自動化資料彙整</t>
        </is>
      </c>
      <c r="F405" s="11" t="inlineStr">
        <is>
          <t>合規驅動的資料需求</t>
        </is>
      </c>
      <c r="G405" s="10" t="inlineStr">
        <is>
          <t>LinkedIn</t>
        </is>
      </c>
      <c r="H405" s="10" t="inlineStr">
        <is>
          <t>L1</t>
        </is>
      </c>
    </row>
    <row r="406">
      <c r="A406" s="7" t="inlineStr">
        <is>
          <t>C24-14</t>
        </is>
      </c>
      <c r="B406" s="7" t="inlineStr">
        <is>
          <t>C24 職場管理與人資</t>
        </is>
      </c>
      <c r="C406" s="8" t="inlineStr">
        <is>
          <t>員工照顧家中長輩的隱形請假</t>
        </is>
      </c>
      <c r="D406" s="7" t="inlineStr">
        <is>
          <t>社會現狀</t>
        </is>
      </c>
      <c r="E406" s="8" t="inlineStr">
        <is>
          <t>—</t>
        </is>
      </c>
      <c r="F406" s="8" t="inlineStr">
        <is>
          <t>照顧與職場的交會</t>
        </is>
      </c>
      <c r="G406" s="7" t="inlineStr">
        <is>
          <t>LinkedIn／Threads</t>
        </is>
      </c>
      <c r="H406" s="7" t="inlineStr">
        <is>
          <t>L0</t>
        </is>
      </c>
    </row>
    <row r="407">
      <c r="A407" s="10" t="inlineStr">
        <is>
          <t>C24-15</t>
        </is>
      </c>
      <c r="B407" s="10" t="inlineStr">
        <is>
          <t>C24 職場管理與人資</t>
        </is>
      </c>
      <c r="C407" s="11" t="inlineStr">
        <is>
          <t>友善照顧職場，企業做得到什麼</t>
        </is>
      </c>
      <c r="D407" s="10" t="inlineStr">
        <is>
          <t>市場調查</t>
        </is>
      </c>
      <c r="E407" s="12" t="inlineStr">
        <is>
          <t>企業標章</t>
        </is>
      </c>
      <c r="F407" s="11" t="inlineStr">
        <is>
          <t>企業社會責任</t>
        </is>
      </c>
      <c r="G407" s="10" t="inlineStr">
        <is>
          <t>LinkedIn</t>
        </is>
      </c>
      <c r="H407" s="10" t="inlineStr">
        <is>
          <t>L0</t>
        </is>
      </c>
    </row>
    <row r="408">
      <c r="A408" s="7" t="inlineStr">
        <is>
          <t>C24-16</t>
        </is>
      </c>
      <c r="B408" s="7" t="inlineStr">
        <is>
          <t>C24 職場管理與人資</t>
        </is>
      </c>
      <c r="C408" s="8" t="inlineStr">
        <is>
          <t>承攬商管理的責任邊界</t>
        </is>
      </c>
      <c r="D408" s="7" t="inlineStr">
        <is>
          <t>社會現狀</t>
        </is>
      </c>
      <c r="E408" s="8" t="inlineStr">
        <is>
          <t>—</t>
        </is>
      </c>
      <c r="F408" s="8" t="inlineStr">
        <is>
          <t>法律責任的釐清</t>
        </is>
      </c>
      <c r="G408" s="7" t="inlineStr">
        <is>
          <t>LinkedIn</t>
        </is>
      </c>
      <c r="H408" s="7" t="inlineStr">
        <is>
          <t>L1</t>
        </is>
      </c>
    </row>
    <row r="409">
      <c r="A409" s="10" t="inlineStr">
        <is>
          <t>C24-17</t>
        </is>
      </c>
      <c r="B409" s="10" t="inlineStr">
        <is>
          <t>C24 職場管理與人資</t>
        </is>
      </c>
      <c r="C409" s="11" t="inlineStr">
        <is>
          <t>如果管理的目的是保護而不是監看</t>
        </is>
      </c>
      <c r="D409" s="10" t="inlineStr">
        <is>
          <t>跨界類比</t>
        </is>
      </c>
      <c r="E409" s="11" t="inlineStr">
        <is>
          <t>—</t>
        </is>
      </c>
      <c r="F409" s="11" t="inlineStr">
        <is>
          <t>論述框架的翻轉</t>
        </is>
      </c>
      <c r="G409" s="10" t="inlineStr">
        <is>
          <t>LinkedIn</t>
        </is>
      </c>
      <c r="H409" s="10" t="inlineStr">
        <is>
          <t>L1</t>
        </is>
      </c>
    </row>
    <row r="410">
      <c r="A410" s="7" t="inlineStr">
        <is>
          <t>C25-01</t>
        </is>
      </c>
      <c r="B410" s="7" t="inlineStr">
        <is>
          <t>C25 災防救難與消防</t>
        </is>
      </c>
      <c r="C410" s="8" t="inlineStr">
        <is>
          <t>地震後的人員清點，怎麼做</t>
        </is>
      </c>
      <c r="D410" s="7" t="inlineStr">
        <is>
          <t>現象觀察</t>
        </is>
      </c>
      <c r="E410" s="12" t="inlineStr">
        <is>
          <t>人員盤點</t>
        </is>
      </c>
      <c r="F410" s="8" t="inlineStr">
        <is>
          <t>災後盤點的需求</t>
        </is>
      </c>
      <c r="G410" s="7" t="inlineStr">
        <is>
          <t>產業媒體</t>
        </is>
      </c>
      <c r="H410" s="7" t="inlineStr">
        <is>
          <t>L1</t>
        </is>
      </c>
    </row>
    <row r="411">
      <c r="A411" s="10" t="inlineStr">
        <is>
          <t>C25-02</t>
        </is>
      </c>
      <c r="B411" s="10" t="inlineStr">
        <is>
          <t>C25 災防救難與消防</t>
        </is>
      </c>
      <c r="C411" s="11" t="inlineStr">
        <is>
          <t>消防員進入火場後，指揮官看得到嗎</t>
        </is>
      </c>
      <c r="D411" s="10" t="inlineStr">
        <is>
          <t>現象觀察</t>
        </is>
      </c>
      <c r="E411" s="12" t="inlineStr">
        <is>
          <t>UWB｜慣性定位</t>
        </is>
      </c>
      <c r="F411" s="11" t="inlineStr">
        <is>
          <t>極端環境的定位挑戰</t>
        </is>
      </c>
      <c r="G411" s="10" t="inlineStr">
        <is>
          <t>技術部落格</t>
        </is>
      </c>
      <c r="H411" s="10" t="inlineStr">
        <is>
          <t>L2</t>
        </is>
      </c>
    </row>
    <row r="412">
      <c r="A412" s="7" t="inlineStr">
        <is>
          <t>C25-03</t>
        </is>
      </c>
      <c r="B412" s="7" t="inlineStr">
        <is>
          <t>C25 災防救難與消防</t>
        </is>
      </c>
      <c r="C412" s="8" t="inlineStr">
        <is>
          <t>避難收容所的人員登記</t>
        </is>
      </c>
      <c r="D412" s="7" t="inlineStr">
        <is>
          <t>現象觀察</t>
        </is>
      </c>
      <c r="E412" s="12" t="inlineStr">
        <is>
          <t>區域判讀</t>
        </is>
      </c>
      <c r="F412" s="8" t="inlineStr">
        <is>
          <t>災時管理的資料化</t>
        </is>
      </c>
      <c r="G412" s="7" t="inlineStr">
        <is>
          <t>產業媒體</t>
        </is>
      </c>
      <c r="H412" s="7" t="inlineStr">
        <is>
          <t>L1</t>
        </is>
      </c>
    </row>
    <row r="413">
      <c r="A413" s="10" t="inlineStr">
        <is>
          <t>C25-04</t>
        </is>
      </c>
      <c r="B413" s="10" t="inlineStr">
        <is>
          <t>C25 災防救難與消防</t>
        </is>
      </c>
      <c r="C413" s="11" t="inlineStr">
        <is>
          <t>水災時的長輩撤離</t>
        </is>
      </c>
      <c r="D413" s="10" t="inlineStr">
        <is>
          <t>社會現狀</t>
        </is>
      </c>
      <c r="E413" s="11" t="inlineStr">
        <is>
          <t>—</t>
        </is>
      </c>
      <c r="F413" s="11" t="inlineStr">
        <is>
          <t>災防中的弱勢族群</t>
        </is>
      </c>
      <c r="G413" s="10" t="inlineStr">
        <is>
          <t>Threads</t>
        </is>
      </c>
      <c r="H413" s="10" t="inlineStr">
        <is>
          <t>L0</t>
        </is>
      </c>
    </row>
    <row r="414">
      <c r="A414" s="7" t="inlineStr">
        <is>
          <t>C25-05</t>
        </is>
      </c>
      <c r="B414" s="7" t="inlineStr">
        <is>
          <t>C25 災防救難與消防</t>
        </is>
      </c>
      <c r="C414" s="8" t="inlineStr">
        <is>
          <t>搜救犬與科技，誰比較快</t>
        </is>
      </c>
      <c r="D414" s="7" t="inlineStr">
        <is>
          <t>跨界類比</t>
        </is>
      </c>
      <c r="E414" s="8" t="inlineStr">
        <is>
          <t>—</t>
        </is>
      </c>
      <c r="F414" s="8" t="inlineStr">
        <is>
          <t>人、犬、機的互補</t>
        </is>
      </c>
      <c r="G414" s="7" t="inlineStr">
        <is>
          <t>Threads</t>
        </is>
      </c>
      <c r="H414" s="7" t="inlineStr">
        <is>
          <t>L0</t>
        </is>
      </c>
    </row>
    <row r="415">
      <c r="A415" s="10" t="inlineStr">
        <is>
          <t>C25-06</t>
        </is>
      </c>
      <c r="B415" s="10" t="inlineStr">
        <is>
          <t>C25 災防救難與消防</t>
        </is>
      </c>
      <c r="C415" s="11" t="inlineStr">
        <is>
          <t>防災演練的盤點時間</t>
        </is>
      </c>
      <c r="D415" s="10" t="inlineStr">
        <is>
          <t>現象觀察</t>
        </is>
      </c>
      <c r="E415" s="12" t="inlineStr">
        <is>
          <t>BLE 人員盤點</t>
        </is>
      </c>
      <c r="F415" s="11" t="inlineStr">
        <is>
          <t>演練效率的跨場域題</t>
        </is>
      </c>
      <c r="G415" s="10" t="inlineStr">
        <is>
          <t>產業媒體</t>
        </is>
      </c>
      <c r="H415" s="10" t="inlineStr">
        <is>
          <t>L2</t>
        </is>
      </c>
    </row>
    <row r="416">
      <c r="A416" s="7" t="inlineStr">
        <is>
          <t>C25-07</t>
        </is>
      </c>
      <c r="B416" s="7" t="inlineStr">
        <is>
          <t>C25 災防救難與消防</t>
        </is>
      </c>
      <c r="C416" s="8" t="inlineStr">
        <is>
          <t>救護車上的病患資料，怎麼同步</t>
        </is>
      </c>
      <c r="D416" s="7" t="inlineStr">
        <is>
          <t>現象觀察</t>
        </is>
      </c>
      <c r="E416" s="12" t="inlineStr">
        <is>
          <t>車載行動感測</t>
        </is>
      </c>
      <c r="F416" s="8" t="inlineStr">
        <is>
          <t>院前到院內的資料鏈</t>
        </is>
      </c>
      <c r="G416" s="7" t="inlineStr">
        <is>
          <t>產業媒體</t>
        </is>
      </c>
      <c r="H416" s="7" t="inlineStr">
        <is>
          <t>L2</t>
        </is>
      </c>
    </row>
    <row r="417">
      <c r="A417" s="10" t="inlineStr">
        <is>
          <t>C25-08</t>
        </is>
      </c>
      <c r="B417" s="10" t="inlineStr">
        <is>
          <t>C25 災防救難與消防</t>
        </is>
      </c>
      <c r="C417" s="11" t="inlineStr">
        <is>
          <t>山域與水域的救援差異</t>
        </is>
      </c>
      <c r="D417" s="10" t="inlineStr">
        <is>
          <t>冷知識</t>
        </is>
      </c>
      <c r="E417" s="12" t="inlineStr">
        <is>
          <t>不同介質的定位</t>
        </is>
      </c>
      <c r="F417" s="11" t="inlineStr">
        <is>
          <t>技術限制的科普</t>
        </is>
      </c>
      <c r="G417" s="10" t="inlineStr">
        <is>
          <t>Threads</t>
        </is>
      </c>
      <c r="H417" s="10" t="inlineStr">
        <is>
          <t>L1</t>
        </is>
      </c>
    </row>
    <row r="418">
      <c r="A418" s="7" t="inlineStr">
        <is>
          <t>C25-09</t>
        </is>
      </c>
      <c r="B418" s="7" t="inlineStr">
        <is>
          <t>C25 災防救難與消防</t>
        </is>
      </c>
      <c r="C418" s="8" t="inlineStr">
        <is>
          <t>緊急聯絡人資訊，多久更新一次</t>
        </is>
      </c>
      <c r="D418" s="7" t="inlineStr">
        <is>
          <t>問卷調查</t>
        </is>
      </c>
      <c r="E418" s="8" t="inlineStr">
        <is>
          <t>—</t>
        </is>
      </c>
      <c r="F418" s="8" t="inlineStr">
        <is>
          <t>基礎準備的提醒</t>
        </is>
      </c>
      <c r="G418" s="7" t="inlineStr">
        <is>
          <t>Threads</t>
        </is>
      </c>
      <c r="H418" s="7" t="inlineStr">
        <is>
          <t>L0</t>
        </is>
      </c>
    </row>
    <row r="419">
      <c r="A419" s="10" t="inlineStr">
        <is>
          <t>C25-10</t>
        </is>
      </c>
      <c r="B419" s="10" t="inlineStr">
        <is>
          <t>C25 災防救難與消防</t>
        </is>
      </c>
      <c r="C419" s="11" t="inlineStr">
        <is>
          <t>獨居長輩的災時協助名冊</t>
        </is>
      </c>
      <c r="D419" s="10" t="inlineStr">
        <is>
          <t>社會現狀</t>
        </is>
      </c>
      <c r="E419" s="11" t="inlineStr">
        <is>
          <t>—</t>
        </is>
      </c>
      <c r="F419" s="11" t="inlineStr">
        <is>
          <t>弱勢盤點的公共議題</t>
        </is>
      </c>
      <c r="G419" s="10" t="inlineStr">
        <is>
          <t>產業媒體</t>
        </is>
      </c>
      <c r="H419" s="10" t="inlineStr">
        <is>
          <t>L0</t>
        </is>
      </c>
    </row>
    <row r="420">
      <c r="A420" s="7" t="inlineStr">
        <is>
          <t>C25-11</t>
        </is>
      </c>
      <c r="B420" s="7" t="inlineStr">
        <is>
          <t>C25 災防救難與消防</t>
        </is>
      </c>
      <c r="C420" s="8" t="inlineStr">
        <is>
          <t>停電時，哪些設備還能運作</t>
        </is>
      </c>
      <c r="D420" s="7" t="inlineStr">
        <is>
          <t>現象觀察</t>
        </is>
      </c>
      <c r="E420" s="12" t="inlineStr">
        <is>
          <t>備用電源設計</t>
        </is>
      </c>
      <c r="F420" s="8" t="inlineStr">
        <is>
          <t>韌性設計</t>
        </is>
      </c>
      <c r="G420" s="7" t="inlineStr">
        <is>
          <t>技術部落格</t>
        </is>
      </c>
      <c r="H420" s="7" t="inlineStr">
        <is>
          <t>L1</t>
        </is>
      </c>
    </row>
    <row r="421">
      <c r="A421" s="10" t="inlineStr">
        <is>
          <t>C25-12</t>
        </is>
      </c>
      <c r="B421" s="10" t="inlineStr">
        <is>
          <t>C25 災防救難與消防</t>
        </is>
      </c>
      <c r="C421" s="11" t="inlineStr">
        <is>
          <t>斷網的災區，資料怎麼回傳</t>
        </is>
      </c>
      <c r="D421" s="10" t="inlineStr">
        <is>
          <t>冷知識</t>
        </is>
      </c>
      <c r="E421" s="12" t="inlineStr">
        <is>
          <t>LoRa｜衛星｜本地快取</t>
        </is>
      </c>
      <c r="F421" s="11" t="inlineStr">
        <is>
          <t>極端條件的技術選型</t>
        </is>
      </c>
      <c r="G421" s="10" t="inlineStr">
        <is>
          <t>技術部落格</t>
        </is>
      </c>
      <c r="H421" s="10" t="inlineStr">
        <is>
          <t>L2</t>
        </is>
      </c>
    </row>
    <row r="422">
      <c r="A422" s="7" t="inlineStr">
        <is>
          <t>C25-13</t>
        </is>
      </c>
      <c r="B422" s="7" t="inlineStr">
        <is>
          <t>C25 災防救難與消防</t>
        </is>
      </c>
      <c r="C422" s="8" t="inlineStr">
        <is>
          <t>防災士在社區扮演什麼角色</t>
        </is>
      </c>
      <c r="D422" s="7" t="inlineStr">
        <is>
          <t>市場調查</t>
        </is>
      </c>
      <c r="E422" s="8" t="inlineStr">
        <is>
          <t>—</t>
        </is>
      </c>
      <c r="F422" s="8" t="inlineStr">
        <is>
          <t>社區韌性</t>
        </is>
      </c>
      <c r="G422" s="7" t="inlineStr">
        <is>
          <t>Threads</t>
        </is>
      </c>
      <c r="H422" s="7" t="inlineStr">
        <is>
          <t>L0</t>
        </is>
      </c>
    </row>
    <row r="423">
      <c r="A423" s="10" t="inlineStr">
        <is>
          <t>C25-14</t>
        </is>
      </c>
      <c r="B423" s="10" t="inlineStr">
        <is>
          <t>C25 災防救難與消防</t>
        </is>
      </c>
      <c r="C423" s="11" t="inlineStr">
        <is>
          <t>長照機構的防災計畫，寫了什麼</t>
        </is>
      </c>
      <c r="D423" s="10" t="inlineStr">
        <is>
          <t>市場調查</t>
        </is>
      </c>
      <c r="E423" s="11" t="inlineStr">
        <is>
          <t>—</t>
        </is>
      </c>
      <c r="F423" s="11" t="inlineStr">
        <is>
          <t>機構的法定義務</t>
        </is>
      </c>
      <c r="G423" s="10" t="inlineStr">
        <is>
          <t>產業媒體</t>
        </is>
      </c>
      <c r="H423" s="10" t="inlineStr">
        <is>
          <t>L1</t>
        </is>
      </c>
    </row>
    <row r="424">
      <c r="A424" s="7" t="inlineStr">
        <is>
          <t>C25-15</t>
        </is>
      </c>
      <c r="B424" s="7" t="inlineStr">
        <is>
          <t>C25 災防救難與消防</t>
        </is>
      </c>
      <c r="C424" s="8" t="inlineStr">
        <is>
          <t>火災時的垂直避難與水平避難</t>
        </is>
      </c>
      <c r="D424" s="7" t="inlineStr">
        <is>
          <t>冷知識</t>
        </is>
      </c>
      <c r="E424" s="8" t="inlineStr">
        <is>
          <t>—</t>
        </is>
      </c>
      <c r="F424" s="8" t="inlineStr">
        <is>
          <t>安全知識的普及</t>
        </is>
      </c>
      <c r="G424" s="7" t="inlineStr">
        <is>
          <t>Threads</t>
        </is>
      </c>
      <c r="H424" s="7" t="inlineStr">
        <is>
          <t>L0</t>
        </is>
      </c>
    </row>
    <row r="425">
      <c r="A425" s="10" t="inlineStr">
        <is>
          <t>C25-16</t>
        </is>
      </c>
      <c r="B425" s="10" t="inlineStr">
        <is>
          <t>C25 災防救難與消防</t>
        </is>
      </c>
      <c r="C425" s="11" t="inlineStr">
        <is>
          <t>如果疏散時就知道誰還沒出來</t>
        </is>
      </c>
      <c r="D425" s="10" t="inlineStr">
        <is>
          <t>跨界類比</t>
        </is>
      </c>
      <c r="E425" s="12" t="inlineStr">
        <is>
          <t>即時人員盤點</t>
        </is>
      </c>
      <c r="F425" s="11" t="inlineStr">
        <is>
          <t>最有畫面感的價值主張</t>
        </is>
      </c>
      <c r="G425" s="10" t="inlineStr">
        <is>
          <t>產業媒體</t>
        </is>
      </c>
      <c r="H425" s="10" t="inlineStr">
        <is>
          <t>L2</t>
        </is>
      </c>
    </row>
    <row r="426">
      <c r="A426" s="7" t="inlineStr">
        <is>
          <t>C25-17</t>
        </is>
      </c>
      <c r="B426" s="7" t="inlineStr">
        <is>
          <t>C25 災防救難與消防</t>
        </is>
      </c>
      <c r="C426" s="8" t="inlineStr">
        <is>
          <t>災後的失聯協尋，靠什麼</t>
        </is>
      </c>
      <c r="D426" s="7" t="inlineStr">
        <is>
          <t>現象觀察</t>
        </is>
      </c>
      <c r="E426" s="12" t="inlineStr">
        <is>
          <t>群眾網路｜協尋平台</t>
        </is>
      </c>
      <c r="F426" s="8" t="inlineStr">
        <is>
          <t>公共協尋機制</t>
        </is>
      </c>
      <c r="G426" s="7" t="inlineStr">
        <is>
          <t>Threads</t>
        </is>
      </c>
      <c r="H426" s="7" t="inlineStr">
        <is>
          <t>L1</t>
        </is>
      </c>
    </row>
    <row r="427">
      <c r="A427" s="10" t="inlineStr">
        <is>
          <t>C26-01</t>
        </is>
      </c>
      <c r="B427" s="10" t="inlineStr">
        <is>
          <t>C26 環保回收與循環</t>
        </is>
      </c>
      <c r="C427" s="11" t="inlineStr">
        <is>
          <t>垃圾車的路線，能更有效率嗎</t>
        </is>
      </c>
      <c r="D427" s="10" t="inlineStr">
        <is>
          <t>現象觀察</t>
        </is>
      </c>
      <c r="E427" s="12" t="inlineStr">
        <is>
          <t>GNSS 派遣</t>
        </is>
      </c>
      <c r="F427" s="11" t="inlineStr">
        <is>
          <t>公共服務的最佳化</t>
        </is>
      </c>
      <c r="G427" s="10" t="inlineStr">
        <is>
          <t>Threads</t>
        </is>
      </c>
      <c r="H427" s="10" t="inlineStr">
        <is>
          <t>L0</t>
        </is>
      </c>
    </row>
    <row r="428">
      <c r="A428" s="7" t="inlineStr">
        <is>
          <t>C26-02</t>
        </is>
      </c>
      <c r="B428" s="7" t="inlineStr">
        <is>
          <t>C26 環保回收與循環</t>
        </is>
      </c>
      <c r="C428" s="8" t="inlineStr">
        <is>
          <t>回收桶滿了，誰會知道</t>
        </is>
      </c>
      <c r="D428" s="7" t="inlineStr">
        <is>
          <t>現象觀察</t>
        </is>
      </c>
      <c r="E428" s="12" t="inlineStr">
        <is>
          <t>感測器＋回報</t>
        </is>
      </c>
      <c r="F428" s="8" t="inlineStr">
        <is>
          <t>智慧城市的基礎應用</t>
        </is>
      </c>
      <c r="G428" s="7" t="inlineStr">
        <is>
          <t>技術部落格</t>
        </is>
      </c>
      <c r="H428" s="7" t="inlineStr">
        <is>
          <t>L1</t>
        </is>
      </c>
    </row>
    <row r="429">
      <c r="A429" s="10" t="inlineStr">
        <is>
          <t>C26-03</t>
        </is>
      </c>
      <c r="B429" s="10" t="inlineStr">
        <is>
          <t>C26 環保回收與循環</t>
        </is>
      </c>
      <c r="C429" s="11" t="inlineStr">
        <is>
          <t>循環容器的回收率，怎麼提高</t>
        </is>
      </c>
      <c r="D429" s="10" t="inlineStr">
        <is>
          <t>現象觀察</t>
        </is>
      </c>
      <c r="E429" s="12" t="inlineStr">
        <is>
          <t>BLE 周轉具追蹤</t>
        </is>
      </c>
      <c r="F429" s="11" t="inlineStr">
        <is>
          <t>循環經濟的定位基礎</t>
        </is>
      </c>
      <c r="G429" s="10" t="inlineStr">
        <is>
          <t>產業媒體</t>
        </is>
      </c>
      <c r="H429" s="10" t="inlineStr">
        <is>
          <t>L2</t>
        </is>
      </c>
    </row>
    <row r="430">
      <c r="A430" s="7" t="inlineStr">
        <is>
          <t>C26-04</t>
        </is>
      </c>
      <c r="B430" s="7" t="inlineStr">
        <is>
          <t>C26 環保回收與循環</t>
        </is>
      </c>
      <c r="C430" s="8" t="inlineStr">
        <is>
          <t>租賃取代購買，對環境的意義</t>
        </is>
      </c>
      <c r="D430" s="7" t="inlineStr">
        <is>
          <t>現象觀察</t>
        </is>
      </c>
      <c r="E430" s="12" t="inlineStr">
        <is>
          <t>輔具租賃制</t>
        </is>
      </c>
      <c r="F430" s="8" t="inlineStr">
        <is>
          <t>政策與永續的交會</t>
        </is>
      </c>
      <c r="G430" s="7" t="inlineStr">
        <is>
          <t>產業媒體</t>
        </is>
      </c>
      <c r="H430" s="7" t="inlineStr">
        <is>
          <t>L1</t>
        </is>
      </c>
    </row>
    <row r="431">
      <c r="A431" s="10" t="inlineStr">
        <is>
          <t>C26-05</t>
        </is>
      </c>
      <c r="B431" s="10" t="inlineStr">
        <is>
          <t>C26 環保回收與循環</t>
        </is>
      </c>
      <c r="C431" s="11" t="inlineStr">
        <is>
          <t>電子廢棄物裡有多少電池</t>
        </is>
      </c>
      <c r="D431" s="10" t="inlineStr">
        <is>
          <t>冷知識</t>
        </is>
      </c>
      <c r="E431" s="12" t="inlineStr">
        <is>
          <t>鈕扣電池回收</t>
        </is>
      </c>
      <c r="F431" s="11" t="inlineStr">
        <is>
          <t>產品生命週期的責任</t>
        </is>
      </c>
      <c r="G431" s="10" t="inlineStr">
        <is>
          <t>Threads</t>
        </is>
      </c>
      <c r="H431" s="10" t="inlineStr">
        <is>
          <t>L1</t>
        </is>
      </c>
    </row>
    <row r="432">
      <c r="A432" s="7" t="inlineStr">
        <is>
          <t>C26-06</t>
        </is>
      </c>
      <c r="B432" s="7" t="inlineStr">
        <is>
          <t>C26 環保回收與循環</t>
        </is>
      </c>
      <c r="C432" s="8" t="inlineStr">
        <is>
          <t>一片鞋墊的生命週期有多長</t>
        </is>
      </c>
      <c r="D432" s="7" t="inlineStr">
        <is>
          <t>跨界類比</t>
        </is>
      </c>
      <c r="E432" s="12" t="inlineStr">
        <is>
          <t>產品壽命</t>
        </is>
      </c>
      <c r="F432" s="8" t="inlineStr">
        <is>
          <t>耗材型產品的永續思考</t>
        </is>
      </c>
      <c r="G432" s="7" t="inlineStr">
        <is>
          <t>Threads</t>
        </is>
      </c>
      <c r="H432" s="7" t="inlineStr">
        <is>
          <t>L2</t>
        </is>
      </c>
    </row>
    <row r="433">
      <c r="A433" s="10" t="inlineStr">
        <is>
          <t>C26-07</t>
        </is>
      </c>
      <c r="B433" s="10" t="inlineStr">
        <is>
          <t>C26 環保回收與循環</t>
        </is>
      </c>
      <c r="C433" s="11" t="inlineStr">
        <is>
          <t>二手輔具的媒合平台，運作得如何</t>
        </is>
      </c>
      <c r="D433" s="10" t="inlineStr">
        <is>
          <t>市場調查</t>
        </is>
      </c>
      <c r="E433" s="11" t="inlineStr">
        <is>
          <t>—</t>
        </is>
      </c>
      <c r="F433" s="11" t="inlineStr">
        <is>
          <t>資源再利用</t>
        </is>
      </c>
      <c r="G433" s="10" t="inlineStr">
        <is>
          <t>產業媒體</t>
        </is>
      </c>
      <c r="H433" s="10" t="inlineStr">
        <is>
          <t>L1</t>
        </is>
      </c>
    </row>
    <row r="434">
      <c r="A434" s="7" t="inlineStr">
        <is>
          <t>C26-08</t>
        </is>
      </c>
      <c r="B434" s="7" t="inlineStr">
        <is>
          <t>C26 環保回收與循環</t>
        </is>
      </c>
      <c r="C434" s="8" t="inlineStr">
        <is>
          <t>清消與消毒的環境成本</t>
        </is>
      </c>
      <c r="D434" s="7" t="inlineStr">
        <is>
          <t>現象觀察</t>
        </is>
      </c>
      <c r="E434" s="12" t="inlineStr">
        <is>
          <t>清消規範</t>
        </is>
      </c>
      <c r="F434" s="8" t="inlineStr">
        <is>
          <t>租賃制的隱形成本</t>
        </is>
      </c>
      <c r="G434" s="7" t="inlineStr">
        <is>
          <t>產業媒體</t>
        </is>
      </c>
      <c r="H434" s="7" t="inlineStr">
        <is>
          <t>L1</t>
        </is>
      </c>
    </row>
    <row r="435">
      <c r="A435" s="10" t="inlineStr">
        <is>
          <t>C26-09</t>
        </is>
      </c>
      <c r="B435" s="10" t="inlineStr">
        <is>
          <t>C26 環保回收與循環</t>
        </is>
      </c>
      <c r="C435" s="11" t="inlineStr">
        <is>
          <t>ESG 報告要揭露什麼</t>
        </is>
      </c>
      <c r="D435" s="10" t="inlineStr">
        <is>
          <t>市場調查</t>
        </is>
      </c>
      <c r="E435" s="12" t="inlineStr">
        <is>
          <t>資料自動彙整</t>
        </is>
      </c>
      <c r="F435" s="11" t="inlineStr">
        <is>
          <t>合規驅動的資料需求</t>
        </is>
      </c>
      <c r="G435" s="10" t="inlineStr">
        <is>
          <t>LinkedIn</t>
        </is>
      </c>
      <c r="H435" s="10" t="inlineStr">
        <is>
          <t>L1</t>
        </is>
      </c>
    </row>
    <row r="436">
      <c r="A436" s="7" t="inlineStr">
        <is>
          <t>C26-10</t>
        </is>
      </c>
      <c r="B436" s="7" t="inlineStr">
        <is>
          <t>C26 環保回收與循環</t>
        </is>
      </c>
      <c r="C436" s="8" t="inlineStr">
        <is>
          <t>包裝減量與物流效率</t>
        </is>
      </c>
      <c r="D436" s="7" t="inlineStr">
        <is>
          <t>現象觀察</t>
        </is>
      </c>
      <c r="E436" s="8" t="inlineStr">
        <is>
          <t>—</t>
        </is>
      </c>
      <c r="F436" s="8" t="inlineStr">
        <is>
          <t>永續與效率的關係</t>
        </is>
      </c>
      <c r="G436" s="7" t="inlineStr">
        <is>
          <t>產業媒體</t>
        </is>
      </c>
      <c r="H436" s="7" t="inlineStr">
        <is>
          <t>L0</t>
        </is>
      </c>
    </row>
    <row r="437">
      <c r="A437" s="10" t="inlineStr">
        <is>
          <t>C26-11</t>
        </is>
      </c>
      <c r="B437" s="10" t="inlineStr">
        <is>
          <t>C26 環保回收與循環</t>
        </is>
      </c>
      <c r="C437" s="11" t="inlineStr">
        <is>
          <t>冷鏈的能耗，佔物流多少</t>
        </is>
      </c>
      <c r="D437" s="10" t="inlineStr">
        <is>
          <t>市場調查</t>
        </is>
      </c>
      <c r="E437" s="11" t="inlineStr">
        <is>
          <t>—</t>
        </is>
      </c>
      <c r="F437" s="11" t="inlineStr">
        <is>
          <t>永續議題的量化</t>
        </is>
      </c>
      <c r="G437" s="10" t="inlineStr">
        <is>
          <t>產業媒體</t>
        </is>
      </c>
      <c r="H437" s="10" t="inlineStr">
        <is>
          <t>L1</t>
        </is>
      </c>
    </row>
    <row r="438">
      <c r="A438" s="7" t="inlineStr">
        <is>
          <t>C26-12</t>
        </is>
      </c>
      <c r="B438" s="7" t="inlineStr">
        <is>
          <t>C26 環保回收與循環</t>
        </is>
      </c>
      <c r="C438" s="8" t="inlineStr">
        <is>
          <t>舊手機能做什麼</t>
        </is>
      </c>
      <c r="D438" s="7" t="inlineStr">
        <is>
          <t>跨界類比</t>
        </is>
      </c>
      <c r="E438" s="12" t="inlineStr">
        <is>
          <t>舊裝置當接收器</t>
        </is>
      </c>
      <c r="F438" s="8" t="inlineStr">
        <is>
          <t>資源再利用的技術想像</t>
        </is>
      </c>
      <c r="G438" s="7" t="inlineStr">
        <is>
          <t>Mobile01</t>
        </is>
      </c>
      <c r="H438" s="7" t="inlineStr">
        <is>
          <t>L1</t>
        </is>
      </c>
    </row>
    <row r="439">
      <c r="A439" s="10" t="inlineStr">
        <is>
          <t>C26-13</t>
        </is>
      </c>
      <c r="B439" s="10" t="inlineStr">
        <is>
          <t>C26 環保回收與循環</t>
        </is>
      </c>
      <c r="C439" s="11" t="inlineStr">
        <is>
          <t>低功耗設計，本身就是一種永續</t>
        </is>
      </c>
      <c r="D439" s="10" t="inlineStr">
        <is>
          <t>冷知識</t>
        </is>
      </c>
      <c r="E439" s="12" t="inlineStr">
        <is>
          <t>BLE 能耗設計</t>
        </is>
      </c>
      <c r="F439" s="11" t="inlineStr">
        <is>
          <t>技術與永續的連結</t>
        </is>
      </c>
      <c r="G439" s="10" t="inlineStr">
        <is>
          <t>技術部落格</t>
        </is>
      </c>
      <c r="H439" s="10" t="inlineStr">
        <is>
          <t>L2</t>
        </is>
      </c>
    </row>
    <row r="440">
      <c r="A440" s="7" t="inlineStr">
        <is>
          <t>C26-14</t>
        </is>
      </c>
      <c r="B440" s="7" t="inlineStr">
        <is>
          <t>C26 環保回收與循環</t>
        </is>
      </c>
      <c r="C440" s="8" t="inlineStr">
        <is>
          <t>不用月租，對環境有差嗎</t>
        </is>
      </c>
      <c r="D440" s="7" t="inlineStr">
        <is>
          <t>跨界類比</t>
        </is>
      </c>
      <c r="E440" s="12" t="inlineStr">
        <is>
          <t>SIM 與基地台能耗</t>
        </is>
      </c>
      <c r="F440" s="8" t="inlineStr">
        <is>
          <t>商業模式的環境面</t>
        </is>
      </c>
      <c r="G440" s="7" t="inlineStr">
        <is>
          <t>Threads</t>
        </is>
      </c>
      <c r="H440" s="7" t="inlineStr">
        <is>
          <t>L2</t>
        </is>
      </c>
    </row>
    <row r="441">
      <c r="A441" s="10" t="inlineStr">
        <is>
          <t>C26-15</t>
        </is>
      </c>
      <c r="B441" s="10" t="inlineStr">
        <is>
          <t>C26 環保回收與循環</t>
        </is>
      </c>
      <c r="C441" s="11" t="inlineStr">
        <is>
          <t>資產找得到，就不用重買</t>
        </is>
      </c>
      <c r="D441" s="10" t="inlineStr">
        <is>
          <t>跨界類比</t>
        </is>
      </c>
      <c r="E441" s="12" t="inlineStr">
        <is>
          <t>資產定位</t>
        </is>
      </c>
      <c r="F441" s="11" t="inlineStr">
        <is>
          <t>定位的永續價值</t>
        </is>
      </c>
      <c r="G441" s="10" t="inlineStr">
        <is>
          <t>LinkedIn</t>
        </is>
      </c>
      <c r="H441" s="10" t="inlineStr">
        <is>
          <t>L2</t>
        </is>
      </c>
    </row>
    <row r="442">
      <c r="A442" s="7" t="inlineStr">
        <is>
          <t>C26-16</t>
        </is>
      </c>
      <c r="B442" s="7" t="inlineStr">
        <is>
          <t>C26 環保回收與循環</t>
        </is>
      </c>
      <c r="C442" s="8" t="inlineStr">
        <is>
          <t>台灣的循環經濟政策，做到哪</t>
        </is>
      </c>
      <c r="D442" s="7" t="inlineStr">
        <is>
          <t>市場調查</t>
        </is>
      </c>
      <c r="E442" s="8" t="inlineStr">
        <is>
          <t>—</t>
        </is>
      </c>
      <c r="F442" s="8" t="inlineStr">
        <is>
          <t>政策脈絡</t>
        </is>
      </c>
      <c r="G442" s="7" t="inlineStr">
        <is>
          <t>產業媒體</t>
        </is>
      </c>
      <c r="H442" s="7" t="inlineStr">
        <is>
          <t>L0</t>
        </is>
      </c>
    </row>
    <row r="443">
      <c r="A443" s="10" t="inlineStr">
        <is>
          <t>C26-17</t>
        </is>
      </c>
      <c r="B443" s="10" t="inlineStr">
        <is>
          <t>C26 環保回收與循環</t>
        </is>
      </c>
      <c r="C443" s="11" t="inlineStr">
        <is>
          <t>維修權運動，跟輔具有關嗎</t>
        </is>
      </c>
      <c r="D443" s="10" t="inlineStr">
        <is>
          <t>社會現狀</t>
        </is>
      </c>
      <c r="E443" s="12" t="inlineStr">
        <is>
          <t>Right to Repair</t>
        </is>
      </c>
      <c r="F443" s="11" t="inlineStr">
        <is>
          <t>國際運動與在地連結</t>
        </is>
      </c>
      <c r="G443" s="10" t="inlineStr">
        <is>
          <t>Threads</t>
        </is>
      </c>
      <c r="H443" s="10" t="inlineStr">
        <is>
          <t>L1</t>
        </is>
      </c>
    </row>
    <row r="444">
      <c r="A444" s="7" t="inlineStr">
        <is>
          <t>C27-01</t>
        </is>
      </c>
      <c r="B444" s="7" t="inlineStr">
        <is>
          <t>C27 金融保險與風險</t>
        </is>
      </c>
      <c r="C444" s="8" t="inlineStr">
        <is>
          <t>長照險的理賠，卡在哪一關</t>
        </is>
      </c>
      <c r="D444" s="7" t="inlineStr">
        <is>
          <t>市場調查</t>
        </is>
      </c>
      <c r="E444" s="8" t="inlineStr">
        <is>
          <t>—</t>
        </is>
      </c>
      <c r="F444" s="8" t="inlineStr">
        <is>
          <t>保險與照顧的交會</t>
        </is>
      </c>
      <c r="G444" s="7" t="inlineStr">
        <is>
          <t>部落格</t>
        </is>
      </c>
      <c r="H444" s="7" t="inlineStr">
        <is>
          <t>L1</t>
        </is>
      </c>
    </row>
    <row r="445">
      <c r="A445" s="10" t="inlineStr">
        <is>
          <t>C27-02</t>
        </is>
      </c>
      <c r="B445" s="10" t="inlineStr">
        <is>
          <t>C27 金融保險與風險</t>
        </is>
      </c>
      <c r="C445" s="11" t="inlineStr">
        <is>
          <t>意外險理賠需要什麼證據</t>
        </is>
      </c>
      <c r="D445" s="10" t="inlineStr">
        <is>
          <t>現象觀察</t>
        </is>
      </c>
      <c r="E445" s="12" t="inlineStr">
        <is>
          <t>時間與位置紀錄</t>
        </is>
      </c>
      <c r="F445" s="11" t="inlineStr">
        <is>
          <t>紀錄的金融價值</t>
        </is>
      </c>
      <c r="G445" s="10" t="inlineStr">
        <is>
          <t>部落格</t>
        </is>
      </c>
      <c r="H445" s="10" t="inlineStr">
        <is>
          <t>L1</t>
        </is>
      </c>
    </row>
    <row r="446">
      <c r="A446" s="7" t="inlineStr">
        <is>
          <t>C27-03</t>
        </is>
      </c>
      <c r="B446" s="7" t="inlineStr">
        <is>
          <t>C27 金融保險與風險</t>
        </is>
      </c>
      <c r="C446" s="8" t="inlineStr">
        <is>
          <t>保險公司為什麼在意穿戴資料</t>
        </is>
      </c>
      <c r="D446" s="7" t="inlineStr">
        <is>
          <t>現象觀察</t>
        </is>
      </c>
      <c r="E446" s="12" t="inlineStr">
        <is>
          <t>國際保險科技</t>
        </is>
      </c>
      <c r="F446" s="8" t="inlineStr">
        <is>
          <t>資料驅動的風險定價</t>
        </is>
      </c>
      <c r="G446" s="7" t="inlineStr">
        <is>
          <t>技術部落格</t>
        </is>
      </c>
      <c r="H446" s="7" t="inlineStr">
        <is>
          <t>L1</t>
        </is>
      </c>
    </row>
    <row r="447">
      <c r="A447" s="10" t="inlineStr">
        <is>
          <t>C27-04</t>
        </is>
      </c>
      <c r="B447" s="10" t="inlineStr">
        <is>
          <t>C27 金融保險與風險</t>
        </is>
      </c>
      <c r="C447" s="11" t="inlineStr">
        <is>
          <t>高齡者的金融剝削，怎麼防</t>
        </is>
      </c>
      <c r="D447" s="10" t="inlineStr">
        <is>
          <t>社會現狀</t>
        </is>
      </c>
      <c r="E447" s="11" t="inlineStr">
        <is>
          <t>—</t>
        </is>
      </c>
      <c r="F447" s="11" t="inlineStr">
        <is>
          <t>高齡保護的金融面</t>
        </is>
      </c>
      <c r="G447" s="10" t="inlineStr">
        <is>
          <t>Threads</t>
        </is>
      </c>
      <c r="H447" s="10" t="inlineStr">
        <is>
          <t>L0</t>
        </is>
      </c>
    </row>
    <row r="448">
      <c r="A448" s="7" t="inlineStr">
        <is>
          <t>C27-05</t>
        </is>
      </c>
      <c r="B448" s="7" t="inlineStr">
        <is>
          <t>C27 金融保險與風險</t>
        </is>
      </c>
      <c r="C448" s="8" t="inlineStr">
        <is>
          <t>失智者的財產管理與監護</t>
        </is>
      </c>
      <c r="D448" s="7" t="inlineStr">
        <is>
          <t>社會現狀</t>
        </is>
      </c>
      <c r="E448" s="12" t="inlineStr">
        <is>
          <t>意定監護</t>
        </is>
      </c>
      <c r="F448" s="8" t="inlineStr">
        <is>
          <t>法律準備的重要性</t>
        </is>
      </c>
      <c r="G448" s="7" t="inlineStr">
        <is>
          <t>部落格</t>
        </is>
      </c>
      <c r="H448" s="7" t="inlineStr">
        <is>
          <t>L0</t>
        </is>
      </c>
    </row>
    <row r="449">
      <c r="A449" s="10" t="inlineStr">
        <is>
          <t>C27-06</t>
        </is>
      </c>
      <c r="B449" s="10" t="inlineStr">
        <is>
          <t>C27 金融保險與風險</t>
        </is>
      </c>
      <c r="C449" s="11" t="inlineStr">
        <is>
          <t>產品責任保險，買家該怎麼看</t>
        </is>
      </c>
      <c r="D449" s="10" t="inlineStr">
        <is>
          <t>冷知識</t>
        </is>
      </c>
      <c r="E449" s="12" t="inlineStr">
        <is>
          <t>產品責任險</t>
        </is>
      </c>
      <c r="F449" s="11" t="inlineStr">
        <is>
          <t>採購時的風險檢核</t>
        </is>
      </c>
      <c r="G449" s="10" t="inlineStr">
        <is>
          <t>部落格</t>
        </is>
      </c>
      <c r="H449" s="10" t="inlineStr">
        <is>
          <t>L2</t>
        </is>
      </c>
    </row>
    <row r="450">
      <c r="A450" s="7" t="inlineStr">
        <is>
          <t>C27-07</t>
        </is>
      </c>
      <c r="B450" s="7" t="inlineStr">
        <is>
          <t>C27 金融保險與風險</t>
        </is>
      </c>
      <c r="C450" s="8" t="inlineStr">
        <is>
          <t>企業的工安保險與紀錄</t>
        </is>
      </c>
      <c r="D450" s="7" t="inlineStr">
        <is>
          <t>現象觀察</t>
        </is>
      </c>
      <c r="E450" s="12" t="inlineStr">
        <is>
          <t>事件歷程</t>
        </is>
      </c>
      <c r="F450" s="8" t="inlineStr">
        <is>
          <t>保費與管理品質的關係</t>
        </is>
      </c>
      <c r="G450" s="7" t="inlineStr">
        <is>
          <t>LinkedIn</t>
        </is>
      </c>
      <c r="H450" s="7" t="inlineStr">
        <is>
          <t>L1</t>
        </is>
      </c>
    </row>
    <row r="451">
      <c r="A451" s="10" t="inlineStr">
        <is>
          <t>C27-08</t>
        </is>
      </c>
      <c r="B451" s="10" t="inlineStr">
        <is>
          <t>C27 金融保險與風險</t>
        </is>
      </c>
      <c r="C451" s="11" t="inlineStr">
        <is>
          <t>貨損理賠，溫度紀錄有沒有用</t>
        </is>
      </c>
      <c r="D451" s="10" t="inlineStr">
        <is>
          <t>現象觀察</t>
        </is>
      </c>
      <c r="E451" s="12" t="inlineStr">
        <is>
          <t>溫度履歷</t>
        </is>
      </c>
      <c r="F451" s="11" t="inlineStr">
        <is>
          <t>舉證的商業價值</t>
        </is>
      </c>
      <c r="G451" s="10" t="inlineStr">
        <is>
          <t>產業媒體</t>
        </is>
      </c>
      <c r="H451" s="10" t="inlineStr">
        <is>
          <t>L2</t>
        </is>
      </c>
    </row>
    <row r="452">
      <c r="A452" s="7" t="inlineStr">
        <is>
          <t>C27-09</t>
        </is>
      </c>
      <c r="B452" s="7" t="inlineStr">
        <is>
          <t>C27 金融保險與風險</t>
        </is>
      </c>
      <c r="C452" s="8" t="inlineStr">
        <is>
          <t>照顧成本，一年到底多少</t>
        </is>
      </c>
      <c r="D452" s="7" t="inlineStr">
        <is>
          <t>市場調查</t>
        </is>
      </c>
      <c r="E452" s="8" t="inlineStr">
        <is>
          <t>—</t>
        </is>
      </c>
      <c r="F452" s="8" t="inlineStr">
        <is>
          <t>財務規劃的現實</t>
        </is>
      </c>
      <c r="G452" s="7" t="inlineStr">
        <is>
          <t>部落格</t>
        </is>
      </c>
      <c r="H452" s="7" t="inlineStr">
        <is>
          <t>L0</t>
        </is>
      </c>
    </row>
    <row r="453">
      <c r="A453" s="10" t="inlineStr">
        <is>
          <t>C27-10</t>
        </is>
      </c>
      <c r="B453" s="10" t="inlineStr">
        <is>
          <t>C27 金融保險與風險</t>
        </is>
      </c>
      <c r="C453" s="11" t="inlineStr">
        <is>
          <t>提早規劃與臨時應變，差多少錢</t>
        </is>
      </c>
      <c r="D453" s="10" t="inlineStr">
        <is>
          <t>市場調查</t>
        </is>
      </c>
      <c r="E453" s="11" t="inlineStr">
        <is>
          <t>—</t>
        </is>
      </c>
      <c r="F453" s="11" t="inlineStr">
        <is>
          <t>預防的經濟價值</t>
        </is>
      </c>
      <c r="G453" s="10" t="inlineStr">
        <is>
          <t>部落格</t>
        </is>
      </c>
      <c r="H453" s="10" t="inlineStr">
        <is>
          <t>L0</t>
        </is>
      </c>
    </row>
    <row r="454">
      <c r="A454" s="7" t="inlineStr">
        <is>
          <t>C27-11</t>
        </is>
      </c>
      <c r="B454" s="7" t="inlineStr">
        <is>
          <t>C27 金融保險與風險</t>
        </is>
      </c>
      <c r="C454" s="8" t="inlineStr">
        <is>
          <t>機構的責任險涵蓋範圍</t>
        </is>
      </c>
      <c r="D454" s="7" t="inlineStr">
        <is>
          <t>市場調查</t>
        </is>
      </c>
      <c r="E454" s="8" t="inlineStr">
        <is>
          <t>—</t>
        </is>
      </c>
      <c r="F454" s="8" t="inlineStr">
        <is>
          <t>機構風險管理</t>
        </is>
      </c>
      <c r="G454" s="7" t="inlineStr">
        <is>
          <t>產業媒體</t>
        </is>
      </c>
      <c r="H454" s="7" t="inlineStr">
        <is>
          <t>L1</t>
        </is>
      </c>
    </row>
    <row r="455">
      <c r="A455" s="10" t="inlineStr">
        <is>
          <t>C27-12</t>
        </is>
      </c>
      <c r="B455" s="10" t="inlineStr">
        <is>
          <t>C27 金融保險與風險</t>
        </is>
      </c>
      <c r="C455" s="11" t="inlineStr">
        <is>
          <t>走失事故的賠償判決怎麼判</t>
        </is>
      </c>
      <c r="D455" s="10" t="inlineStr">
        <is>
          <t>社會現狀</t>
        </is>
      </c>
      <c r="E455" s="12" t="inlineStr">
        <is>
          <t>司法判決</t>
        </is>
      </c>
      <c r="F455" s="11" t="inlineStr">
        <is>
          <t>責任認定的實例</t>
        </is>
      </c>
      <c r="G455" s="10" t="inlineStr">
        <is>
          <t>部落格</t>
        </is>
      </c>
      <c r="H455" s="10" t="inlineStr">
        <is>
          <t>L1</t>
        </is>
      </c>
    </row>
    <row r="456">
      <c r="A456" s="7" t="inlineStr">
        <is>
          <t>C27-13</t>
        </is>
      </c>
      <c r="B456" s="7" t="inlineStr">
        <is>
          <t>C27 金融保險與風險</t>
        </is>
      </c>
      <c r="C456" s="8" t="inlineStr">
        <is>
          <t>科技導入能不能降低保費</t>
        </is>
      </c>
      <c r="D456" s="7" t="inlineStr">
        <is>
          <t>現象觀察</t>
        </is>
      </c>
      <c r="E456" s="12" t="inlineStr">
        <is>
          <t>風險管理</t>
        </is>
      </c>
      <c r="F456" s="8" t="inlineStr">
        <is>
          <t>導入的財務誘因</t>
        </is>
      </c>
      <c r="G456" s="7" t="inlineStr">
        <is>
          <t>LinkedIn</t>
        </is>
      </c>
      <c r="H456" s="7" t="inlineStr">
        <is>
          <t>L2</t>
        </is>
      </c>
    </row>
    <row r="457">
      <c r="A457" s="10" t="inlineStr">
        <is>
          <t>C27-14</t>
        </is>
      </c>
      <c r="B457" s="10" t="inlineStr">
        <is>
          <t>C27 金融保險與風險</t>
        </is>
      </c>
      <c r="C457" s="11" t="inlineStr">
        <is>
          <t>銀髮族的詐騙防範</t>
        </is>
      </c>
      <c r="D457" s="10" t="inlineStr">
        <is>
          <t>社會現狀</t>
        </is>
      </c>
      <c r="E457" s="11" t="inlineStr">
        <is>
          <t>—</t>
        </is>
      </c>
      <c r="F457" s="11" t="inlineStr">
        <is>
          <t>高齡保護的公共議題</t>
        </is>
      </c>
      <c r="G457" s="10" t="inlineStr">
        <is>
          <t>Threads</t>
        </is>
      </c>
      <c r="H457" s="10" t="inlineStr">
        <is>
          <t>L0</t>
        </is>
      </c>
    </row>
    <row r="458">
      <c r="A458" s="7" t="inlineStr">
        <is>
          <t>C27-15</t>
        </is>
      </c>
      <c r="B458" s="7" t="inlineStr">
        <is>
          <t>C27 金融保險與風險</t>
        </is>
      </c>
      <c r="C458" s="8" t="inlineStr">
        <is>
          <t>輔具補助的財務規劃</t>
        </is>
      </c>
      <c r="D458" s="7" t="inlineStr">
        <is>
          <t>市場調查</t>
        </is>
      </c>
      <c r="E458" s="12" t="inlineStr">
        <is>
          <t>給付額度</t>
        </is>
      </c>
      <c r="F458" s="8" t="inlineStr">
        <is>
          <t>額度配置的決策</t>
        </is>
      </c>
      <c r="G458" s="7" t="inlineStr">
        <is>
          <t>部落格</t>
        </is>
      </c>
      <c r="H458" s="7" t="inlineStr">
        <is>
          <t>L1</t>
        </is>
      </c>
    </row>
    <row r="459">
      <c r="A459" s="10" t="inlineStr">
        <is>
          <t>C27-16</t>
        </is>
      </c>
      <c r="B459" s="10" t="inlineStr">
        <is>
          <t>C27 金融保險與風險</t>
        </is>
      </c>
      <c r="C459" s="11" t="inlineStr">
        <is>
          <t>企業採購的付款條件，怎麼談</t>
        </is>
      </c>
      <c r="D459" s="10" t="inlineStr">
        <is>
          <t>現象觀察</t>
        </is>
      </c>
      <c r="E459" s="12" t="inlineStr">
        <is>
          <t>分期付款慣例</t>
        </is>
      </c>
      <c r="F459" s="11" t="inlineStr">
        <is>
          <t>採購實務的科普</t>
        </is>
      </c>
      <c r="G459" s="10" t="inlineStr">
        <is>
          <t>LinkedIn</t>
        </is>
      </c>
      <c r="H459" s="10" t="inlineStr">
        <is>
          <t>L2</t>
        </is>
      </c>
    </row>
    <row r="460">
      <c r="A460" s="7" t="inlineStr">
        <is>
          <t>C27-17</t>
        </is>
      </c>
      <c r="B460" s="7" t="inlineStr">
        <is>
          <t>C27 金融保險與風險</t>
        </is>
      </c>
      <c r="C460" s="8" t="inlineStr">
        <is>
          <t>風險轉嫁與風險降低，哪個划算</t>
        </is>
      </c>
      <c r="D460" s="7" t="inlineStr">
        <is>
          <t>跨界類比</t>
        </is>
      </c>
      <c r="E460" s="8" t="inlineStr">
        <is>
          <t>—</t>
        </is>
      </c>
      <c r="F460" s="8" t="inlineStr">
        <is>
          <t>風險管理的觀念</t>
        </is>
      </c>
      <c r="G460" s="7" t="inlineStr">
        <is>
          <t>LinkedIn</t>
        </is>
      </c>
      <c r="H460" s="7" t="inlineStr">
        <is>
          <t>L1</t>
        </is>
      </c>
    </row>
    <row r="461">
      <c r="A461" s="10" t="inlineStr">
        <is>
          <t>C28-01</t>
        </is>
      </c>
      <c r="B461" s="10" t="inlineStr">
        <is>
          <t>C28 法律責任與爭議</t>
        </is>
      </c>
      <c r="C461" s="11" t="inlineStr">
        <is>
          <t>機構走失事故，責任怎麼認定</t>
        </is>
      </c>
      <c r="D461" s="10" t="inlineStr">
        <is>
          <t>社會現狀</t>
        </is>
      </c>
      <c r="E461" s="12" t="inlineStr">
        <is>
          <t>司法判決</t>
        </is>
      </c>
      <c r="F461" s="11" t="inlineStr">
        <is>
          <t>舉證責任的核心</t>
        </is>
      </c>
      <c r="G461" s="10" t="inlineStr">
        <is>
          <t>部落格／產業媒體</t>
        </is>
      </c>
      <c r="H461" s="10" t="inlineStr">
        <is>
          <t>L1</t>
        </is>
      </c>
    </row>
    <row r="462">
      <c r="A462" s="7" t="inlineStr">
        <is>
          <t>C28-02</t>
        </is>
      </c>
      <c r="B462" s="7" t="inlineStr">
        <is>
          <t>C28 法律責任與爭議</t>
        </is>
      </c>
      <c r="C462" s="8" t="inlineStr">
        <is>
          <t>「盡到注意義務」要怎麼證明</t>
        </is>
      </c>
      <c r="D462" s="7" t="inlineStr">
        <is>
          <t>現象觀察</t>
        </is>
      </c>
      <c r="E462" s="12" t="inlineStr">
        <is>
          <t>紀錄可追溯</t>
        </is>
      </c>
      <c r="F462" s="8" t="inlineStr">
        <is>
          <t>紀錄即免責基礎</t>
        </is>
      </c>
      <c r="G462" s="7" t="inlineStr">
        <is>
          <t>產業媒體</t>
        </is>
      </c>
      <c r="H462" s="7" t="inlineStr">
        <is>
          <t>L2</t>
        </is>
      </c>
    </row>
    <row r="463">
      <c r="A463" s="10" t="inlineStr">
        <is>
          <t>C28-03</t>
        </is>
      </c>
      <c r="B463" s="10" t="inlineStr">
        <is>
          <t>C28 法律責任與爭議</t>
        </is>
      </c>
      <c r="C463" s="11" t="inlineStr">
        <is>
          <t>定位資料算不算個資</t>
        </is>
      </c>
      <c r="D463" s="10" t="inlineStr">
        <is>
          <t>冷知識</t>
        </is>
      </c>
      <c r="E463" s="12" t="inlineStr">
        <is>
          <t>個資法</t>
        </is>
      </c>
      <c r="F463" s="11" t="inlineStr">
        <is>
          <t>法律定性的釐清</t>
        </is>
      </c>
      <c r="G463" s="10" t="inlineStr">
        <is>
          <t>部落格</t>
        </is>
      </c>
      <c r="H463" s="10" t="inlineStr">
        <is>
          <t>L1</t>
        </is>
      </c>
    </row>
    <row r="464">
      <c r="A464" s="7" t="inlineStr">
        <is>
          <t>C28-04</t>
        </is>
      </c>
      <c r="B464" s="7" t="inlineStr">
        <is>
          <t>C28 法律責任與爭議</t>
        </is>
      </c>
      <c r="C464" s="8" t="inlineStr">
        <is>
          <t>特種個資是什麼，為什麼不能亂收</t>
        </is>
      </c>
      <c r="D464" s="7" t="inlineStr">
        <is>
          <t>冷知識</t>
        </is>
      </c>
      <c r="E464" s="12" t="inlineStr">
        <is>
          <t>個資法第 6 條</t>
        </is>
      </c>
      <c r="F464" s="8" t="inlineStr">
        <is>
          <t>醫療資料的紅線</t>
        </is>
      </c>
      <c r="G464" s="7" t="inlineStr">
        <is>
          <t>部落格</t>
        </is>
      </c>
      <c r="H464" s="7" t="inlineStr">
        <is>
          <t>L1</t>
        </is>
      </c>
    </row>
    <row r="465">
      <c r="A465" s="10" t="inlineStr">
        <is>
          <t>C28-05</t>
        </is>
      </c>
      <c r="B465" s="10" t="inlineStr">
        <is>
          <t>C28 法律責任與爭議</t>
        </is>
      </c>
      <c r="C465" s="11" t="inlineStr">
        <is>
          <t>同意書要寫到什麼程度</t>
        </is>
      </c>
      <c r="D465" s="10" t="inlineStr">
        <is>
          <t>現象觀察</t>
        </is>
      </c>
      <c r="E465" s="12" t="inlineStr">
        <is>
          <t>告知同意</t>
        </is>
      </c>
      <c r="F465" s="11" t="inlineStr">
        <is>
          <t>合規文件的實務</t>
        </is>
      </c>
      <c r="G465" s="10" t="inlineStr">
        <is>
          <t>產業媒體</t>
        </is>
      </c>
      <c r="H465" s="10" t="inlineStr">
        <is>
          <t>L2</t>
        </is>
      </c>
    </row>
    <row r="466">
      <c r="A466" s="7" t="inlineStr">
        <is>
          <t>C28-06</t>
        </is>
      </c>
      <c r="B466" s="7" t="inlineStr">
        <is>
          <t>C28 法律責任與爭議</t>
        </is>
      </c>
      <c r="C466" s="8" t="inlineStr">
        <is>
          <t>未成年人的定位，誰能同意</t>
        </is>
      </c>
      <c r="D466" s="7" t="inlineStr">
        <is>
          <t>社會現狀</t>
        </is>
      </c>
      <c r="E466" s="12" t="inlineStr">
        <is>
          <t>法定代理</t>
        </is>
      </c>
      <c r="F466" s="8" t="inlineStr">
        <is>
          <t>同意權的歸屬</t>
        </is>
      </c>
      <c r="G466" s="7" t="inlineStr">
        <is>
          <t>Threads</t>
        </is>
      </c>
      <c r="H466" s="7" t="inlineStr">
        <is>
          <t>L0</t>
        </is>
      </c>
    </row>
    <row r="467">
      <c r="A467" s="10" t="inlineStr">
        <is>
          <t>C28-07</t>
        </is>
      </c>
      <c r="B467" s="10" t="inlineStr">
        <is>
          <t>C28 法律責任與爭議</t>
        </is>
      </c>
      <c r="C467" s="11" t="inlineStr">
        <is>
          <t>失智者的知情同意怎麼處理</t>
        </is>
      </c>
      <c r="D467" s="10" t="inlineStr">
        <is>
          <t>社會現狀</t>
        </is>
      </c>
      <c r="E467" s="12" t="inlineStr">
        <is>
          <t>法定代理人</t>
        </is>
      </c>
      <c r="F467" s="11" t="inlineStr">
        <is>
          <t>最困難的倫理問題</t>
        </is>
      </c>
      <c r="G467" s="10" t="inlineStr">
        <is>
          <t>部落格</t>
        </is>
      </c>
      <c r="H467" s="10" t="inlineStr">
        <is>
          <t>L1</t>
        </is>
      </c>
    </row>
    <row r="468">
      <c r="A468" s="7" t="inlineStr">
        <is>
          <t>C28-08</t>
        </is>
      </c>
      <c r="B468" s="7" t="inlineStr">
        <is>
          <t>C28 法律責任與爭議</t>
        </is>
      </c>
      <c r="C468" s="8" t="inlineStr">
        <is>
          <t>跟蹤騷擾防制法與定位裝置</t>
        </is>
      </c>
      <c r="D468" s="7" t="inlineStr">
        <is>
          <t>社會現狀</t>
        </is>
      </c>
      <c r="E468" s="12" t="inlineStr">
        <is>
          <t>跟騷法｜DULT</t>
        </is>
      </c>
      <c r="F468" s="8" t="inlineStr">
        <is>
          <t>法律與技術的對應</t>
        </is>
      </c>
      <c r="G468" s="7" t="inlineStr">
        <is>
          <t>Threads</t>
        </is>
      </c>
      <c r="H468" s="7" t="inlineStr">
        <is>
          <t>L1</t>
        </is>
      </c>
    </row>
    <row r="469">
      <c r="A469" s="10" t="inlineStr">
        <is>
          <t>C28-09</t>
        </is>
      </c>
      <c r="B469" s="10" t="inlineStr">
        <is>
          <t>C28 法律責任與爭議</t>
        </is>
      </c>
      <c r="C469" s="11" t="inlineStr">
        <is>
          <t>資料保存多久才合法</t>
        </is>
      </c>
      <c r="D469" s="10" t="inlineStr">
        <is>
          <t>現象觀察</t>
        </is>
      </c>
      <c r="E469" s="12" t="inlineStr">
        <is>
          <t>保存期限</t>
        </is>
      </c>
      <c r="F469" s="11" t="inlineStr">
        <is>
          <t>資料治理的基礎</t>
        </is>
      </c>
      <c r="G469" s="10" t="inlineStr">
        <is>
          <t>產業媒體</t>
        </is>
      </c>
      <c r="H469" s="10" t="inlineStr">
        <is>
          <t>L1</t>
        </is>
      </c>
    </row>
    <row r="470">
      <c r="A470" s="7" t="inlineStr">
        <is>
          <t>C28-10</t>
        </is>
      </c>
      <c r="B470" s="7" t="inlineStr">
        <is>
          <t>C28 法律責任與爭議</t>
        </is>
      </c>
      <c r="C470" s="8" t="inlineStr">
        <is>
          <t>員工定位的勞資爭議案例</t>
        </is>
      </c>
      <c r="D470" s="7" t="inlineStr">
        <is>
          <t>社會現狀</t>
        </is>
      </c>
      <c r="E470" s="8" t="inlineStr">
        <is>
          <t>—</t>
        </is>
      </c>
      <c r="F470" s="8" t="inlineStr">
        <is>
          <t>實例學習</t>
        </is>
      </c>
      <c r="G470" s="7" t="inlineStr">
        <is>
          <t>LinkedIn</t>
        </is>
      </c>
      <c r="H470" s="7" t="inlineStr">
        <is>
          <t>L1</t>
        </is>
      </c>
    </row>
    <row r="471">
      <c r="A471" s="10" t="inlineStr">
        <is>
          <t>C28-11</t>
        </is>
      </c>
      <c r="B471" s="10" t="inlineStr">
        <is>
          <t>C28 法律責任與爭議</t>
        </is>
      </c>
      <c r="C471" s="11" t="inlineStr">
        <is>
          <t>廣告不實的界線在哪</t>
        </is>
      </c>
      <c r="D471" s="10" t="inlineStr">
        <is>
          <t>冷知識</t>
        </is>
      </c>
      <c r="E471" s="12" t="inlineStr">
        <is>
          <t>公平交易法</t>
        </is>
      </c>
      <c r="F471" s="11" t="inlineStr">
        <is>
          <t>行銷合規</t>
        </is>
      </c>
      <c r="G471" s="10" t="inlineStr">
        <is>
          <t>部落格</t>
        </is>
      </c>
      <c r="H471" s="10" t="inlineStr">
        <is>
          <t>L1</t>
        </is>
      </c>
    </row>
    <row r="472">
      <c r="A472" s="7" t="inlineStr">
        <is>
          <t>C28-12</t>
        </is>
      </c>
      <c r="B472" s="7" t="inlineStr">
        <is>
          <t>C28 法律責任與爭議</t>
        </is>
      </c>
      <c r="C472" s="8" t="inlineStr">
        <is>
          <t>業配沒揭露，會怎樣</t>
        </is>
      </c>
      <c r="D472" s="7" t="inlineStr">
        <is>
          <t>冷知識</t>
        </is>
      </c>
      <c r="E472" s="12" t="inlineStr">
        <is>
          <t>薦證廣告規範</t>
        </is>
      </c>
      <c r="F472" s="8" t="inlineStr">
        <is>
          <t>內容行銷的法遵</t>
        </is>
      </c>
      <c r="G472" s="7" t="inlineStr">
        <is>
          <t>Threads</t>
        </is>
      </c>
      <c r="H472" s="7" t="inlineStr">
        <is>
          <t>L1</t>
        </is>
      </c>
    </row>
    <row r="473">
      <c r="A473" s="10" t="inlineStr">
        <is>
          <t>C28-13</t>
        </is>
      </c>
      <c r="B473" s="10" t="inlineStr">
        <is>
          <t>C28 法律責任與爭議</t>
        </is>
      </c>
      <c r="C473" s="11" t="inlineStr">
        <is>
          <t>醫療效能宣稱的紅線</t>
        </is>
      </c>
      <c r="D473" s="10" t="inlineStr">
        <is>
          <t>冷知識</t>
        </is>
      </c>
      <c r="E473" s="12" t="inlineStr">
        <is>
          <t>醫材與食安法規</t>
        </is>
      </c>
      <c r="F473" s="11" t="inlineStr">
        <is>
          <t>宣稱邊界</t>
        </is>
      </c>
      <c r="G473" s="10" t="inlineStr">
        <is>
          <t>部落格</t>
        </is>
      </c>
      <c r="H473" s="10" t="inlineStr">
        <is>
          <t>L1</t>
        </is>
      </c>
    </row>
    <row r="474">
      <c r="A474" s="7" t="inlineStr">
        <is>
          <t>C28-14</t>
        </is>
      </c>
      <c r="B474" s="7" t="inlineStr">
        <is>
          <t>C28 法律責任與爭議</t>
        </is>
      </c>
      <c r="C474" s="8" t="inlineStr">
        <is>
          <t>契約裡最該看的三行</t>
        </is>
      </c>
      <c r="D474" s="7" t="inlineStr">
        <is>
          <t>現象觀察</t>
        </is>
      </c>
      <c r="E474" s="12" t="inlineStr">
        <is>
          <t>驗收與保固條款</t>
        </is>
      </c>
      <c r="F474" s="8" t="inlineStr">
        <is>
          <t>採購實務</t>
        </is>
      </c>
      <c r="G474" s="7" t="inlineStr">
        <is>
          <t>LinkedIn</t>
        </is>
      </c>
      <c r="H474" s="7" t="inlineStr">
        <is>
          <t>L2</t>
        </is>
      </c>
    </row>
    <row r="475">
      <c r="A475" s="10" t="inlineStr">
        <is>
          <t>C28-15</t>
        </is>
      </c>
      <c r="B475" s="10" t="inlineStr">
        <is>
          <t>C28 法律責任與爭議</t>
        </is>
      </c>
      <c r="C475" s="11" t="inlineStr">
        <is>
          <t>消費爭議調解，怎麼走</t>
        </is>
      </c>
      <c r="D475" s="10" t="inlineStr">
        <is>
          <t>市場調查</t>
        </is>
      </c>
      <c r="E475" s="11" t="inlineStr">
        <is>
          <t>—</t>
        </is>
      </c>
      <c r="F475" s="11" t="inlineStr">
        <is>
          <t>消費者權益</t>
        </is>
      </c>
      <c r="G475" s="10" t="inlineStr">
        <is>
          <t>部落格</t>
        </is>
      </c>
      <c r="H475" s="10" t="inlineStr">
        <is>
          <t>L0</t>
        </is>
      </c>
    </row>
    <row r="476">
      <c r="A476" s="7" t="inlineStr">
        <is>
          <t>C28-16</t>
        </is>
      </c>
      <c r="B476" s="7" t="inlineStr">
        <is>
          <t>C28 法律責任與爭議</t>
        </is>
      </c>
      <c r="C476" s="8" t="inlineStr">
        <is>
          <t>資安事件的通報義務</t>
        </is>
      </c>
      <c r="D476" s="7" t="inlineStr">
        <is>
          <t>冷知識</t>
        </is>
      </c>
      <c r="E476" s="12" t="inlineStr">
        <is>
          <t>通報時限</t>
        </is>
      </c>
      <c r="F476" s="8" t="inlineStr">
        <is>
          <t>合規要求</t>
        </is>
      </c>
      <c r="G476" s="7" t="inlineStr">
        <is>
          <t>技術部落格</t>
        </is>
      </c>
      <c r="H476" s="7" t="inlineStr">
        <is>
          <t>L2</t>
        </is>
      </c>
    </row>
    <row r="477">
      <c r="A477" s="10" t="inlineStr">
        <is>
          <t>C28-17</t>
        </is>
      </c>
      <c r="B477" s="10" t="inlineStr">
        <is>
          <t>C28 法律責任與爭議</t>
        </is>
      </c>
      <c r="C477" s="11" t="inlineStr">
        <is>
          <t>定位不是萬靈丹，免責聲明該怎麼寫</t>
        </is>
      </c>
      <c r="D477" s="10" t="inlineStr">
        <is>
          <t>跨界類比</t>
        </is>
      </c>
      <c r="E477" s="11" t="inlineStr">
        <is>
          <t>—</t>
        </is>
      </c>
      <c r="F477" s="11" t="inlineStr">
        <is>
          <t>誠實揭露 vs 推責的差別</t>
        </is>
      </c>
      <c r="G477" s="10" t="inlineStr">
        <is>
          <t>產業媒體</t>
        </is>
      </c>
      <c r="H477" s="10" t="inlineStr">
        <is>
          <t>L2</t>
        </is>
      </c>
    </row>
    <row r="478">
      <c r="A478" s="7" t="inlineStr">
        <is>
          <t>C29-01</t>
        </is>
      </c>
      <c r="B478" s="7" t="inlineStr">
        <is>
          <t>C29 國際科技觀察</t>
        </is>
      </c>
      <c r="C478" s="8" t="inlineStr">
        <is>
          <t>日本的介護科技，走到哪了</t>
        </is>
      </c>
      <c r="D478" s="7" t="inlineStr">
        <is>
          <t>市場調查</t>
        </is>
      </c>
      <c r="E478" s="12" t="inlineStr">
        <is>
          <t>日本介護保險輔具租賃</t>
        </is>
      </c>
      <c r="F478" s="8" t="inlineStr">
        <is>
          <t>國際制度對照</t>
        </is>
      </c>
      <c r="G478" s="7" t="inlineStr">
        <is>
          <t>部落格／產業媒體</t>
        </is>
      </c>
      <c r="H478" s="7" t="inlineStr">
        <is>
          <t>L1</t>
        </is>
      </c>
    </row>
    <row r="479">
      <c r="A479" s="10" t="inlineStr">
        <is>
          <t>C29-02</t>
        </is>
      </c>
      <c r="B479" s="10" t="inlineStr">
        <is>
          <t>C29 國際科技觀察</t>
        </is>
      </c>
      <c r="C479" s="11" t="inlineStr">
        <is>
          <t>荷蘭失智村，是烏托邦還是可複製</t>
        </is>
      </c>
      <c r="D479" s="10" t="inlineStr">
        <is>
          <t>市場調查</t>
        </is>
      </c>
      <c r="E479" s="12" t="inlineStr">
        <is>
          <t>Hogeweyk</t>
        </is>
      </c>
      <c r="F479" s="11" t="inlineStr">
        <is>
          <t>國際照顧設計的標竿</t>
        </is>
      </c>
      <c r="G479" s="10" t="inlineStr">
        <is>
          <t>部落格</t>
        </is>
      </c>
      <c r="H479" s="10" t="inlineStr">
        <is>
          <t>L0</t>
        </is>
      </c>
    </row>
    <row r="480">
      <c r="A480" s="7" t="inlineStr">
        <is>
          <t>C29-03</t>
        </is>
      </c>
      <c r="B480" s="7" t="inlineStr">
        <is>
          <t>C29 國際科技觀察</t>
        </is>
      </c>
      <c r="C480" s="8" t="inlineStr">
        <is>
          <t>北歐的高齡科技補助怎麼給</t>
        </is>
      </c>
      <c r="D480" s="7" t="inlineStr">
        <is>
          <t>市場調查</t>
        </is>
      </c>
      <c r="E480" s="8" t="inlineStr">
        <is>
          <t>—</t>
        </is>
      </c>
      <c r="F480" s="8" t="inlineStr">
        <is>
          <t>政策設計的國際比較</t>
        </is>
      </c>
      <c r="G480" s="7" t="inlineStr">
        <is>
          <t>產業媒體</t>
        </is>
      </c>
      <c r="H480" s="7" t="inlineStr">
        <is>
          <t>L1</t>
        </is>
      </c>
    </row>
    <row r="481">
      <c r="A481" s="10" t="inlineStr">
        <is>
          <t>C29-04</t>
        </is>
      </c>
      <c r="B481" s="10" t="inlineStr">
        <is>
          <t>C29 國際科技觀察</t>
        </is>
      </c>
      <c r="C481" s="11" t="inlineStr">
        <is>
          <t>美國的群眾網路生態</t>
        </is>
      </c>
      <c r="D481" s="10" t="inlineStr">
        <is>
          <t>市場調查</t>
        </is>
      </c>
      <c r="E481" s="12" t="inlineStr">
        <is>
          <t>Apple Find My｜Amazon Sidewalk</t>
        </is>
      </c>
      <c r="F481" s="11" t="inlineStr">
        <is>
          <t>群眾網路的多元實作</t>
        </is>
      </c>
      <c r="G481" s="10" t="inlineStr">
        <is>
          <t>技術部落格</t>
        </is>
      </c>
      <c r="H481" s="10" t="inlineStr">
        <is>
          <t>L2</t>
        </is>
      </c>
    </row>
    <row r="482">
      <c r="A482" s="7" t="inlineStr">
        <is>
          <t>C29-05</t>
        </is>
      </c>
      <c r="B482" s="7" t="inlineStr">
        <is>
          <t>C29 國際科技觀察</t>
        </is>
      </c>
      <c r="C482" s="8" t="inlineStr">
        <is>
          <t>歐盟的資料保護，比台灣嚴多少</t>
        </is>
      </c>
      <c r="D482" s="7" t="inlineStr">
        <is>
          <t>冷知識</t>
        </is>
      </c>
      <c r="E482" s="12" t="inlineStr">
        <is>
          <t>GDPR</t>
        </is>
      </c>
      <c r="F482" s="8" t="inlineStr">
        <is>
          <t>隱私法規的國際比較</t>
        </is>
      </c>
      <c r="G482" s="7" t="inlineStr">
        <is>
          <t>部落格</t>
        </is>
      </c>
      <c r="H482" s="7" t="inlineStr">
        <is>
          <t>L1</t>
        </is>
      </c>
    </row>
    <row r="483">
      <c r="A483" s="10" t="inlineStr">
        <is>
          <t>C29-06</t>
        </is>
      </c>
      <c r="B483" s="10" t="inlineStr">
        <is>
          <t>C29 國際科技觀察</t>
        </is>
      </c>
      <c r="C483" s="11" t="inlineStr">
        <is>
          <t>國際 RTLS 大廠在做什麼</t>
        </is>
      </c>
      <c r="D483" s="10" t="inlineStr">
        <is>
          <t>市場調查</t>
        </is>
      </c>
      <c r="E483" s="12" t="inlineStr">
        <is>
          <t>Quuppa｜Kinexon｜Zebra｜Sewio</t>
        </is>
      </c>
      <c r="F483" s="11" t="inlineStr">
        <is>
          <t>國際廠商盤點</t>
        </is>
      </c>
      <c r="G483" s="10" t="inlineStr">
        <is>
          <t>技術部落格</t>
        </is>
      </c>
      <c r="H483" s="10" t="inlineStr">
        <is>
          <t>L2</t>
        </is>
      </c>
    </row>
    <row r="484">
      <c r="A484" s="7" t="inlineStr">
        <is>
          <t>C29-07</t>
        </is>
      </c>
      <c r="B484" s="7" t="inlineStr">
        <is>
          <t>C29 國際科技觀察</t>
        </is>
      </c>
      <c r="C484" s="8" t="inlineStr">
        <is>
          <t>運動科學的定位技術，精度多高</t>
        </is>
      </c>
      <c r="D484" s="7" t="inlineStr">
        <is>
          <t>市場調查</t>
        </is>
      </c>
      <c r="E484" s="12" t="inlineStr">
        <is>
          <t>Kinexon｜Catapult</t>
        </is>
      </c>
      <c r="F484" s="8" t="inlineStr">
        <is>
          <t>頂級應用的技術水準</t>
        </is>
      </c>
      <c r="G484" s="7" t="inlineStr">
        <is>
          <t>技術部落格</t>
        </is>
      </c>
      <c r="H484" s="7" t="inlineStr">
        <is>
          <t>L2</t>
        </is>
      </c>
    </row>
    <row r="485">
      <c r="A485" s="10" t="inlineStr">
        <is>
          <t>C29-08</t>
        </is>
      </c>
      <c r="B485" s="10" t="inlineStr">
        <is>
          <t>C29 國際科技觀察</t>
        </is>
      </c>
      <c r="C485" s="11" t="inlineStr">
        <is>
          <t>IEEE 802.15.4ab 在改什麼</t>
        </is>
      </c>
      <c r="D485" s="10" t="inlineStr">
        <is>
          <t>冷知識</t>
        </is>
      </c>
      <c r="E485" s="12" t="inlineStr">
        <is>
          <t>UWB 下一代標準</t>
        </is>
      </c>
      <c r="F485" s="11" t="inlineStr">
        <is>
          <t>標準演進的追蹤</t>
        </is>
      </c>
      <c r="G485" s="10" t="inlineStr">
        <is>
          <t>技術部落格</t>
        </is>
      </c>
      <c r="H485" s="10" t="inlineStr">
        <is>
          <t>L2</t>
        </is>
      </c>
    </row>
    <row r="486">
      <c r="A486" s="7" t="inlineStr">
        <is>
          <t>C29-09</t>
        </is>
      </c>
      <c r="B486" s="7" t="inlineStr">
        <is>
          <t>C29 國際科技觀察</t>
        </is>
      </c>
      <c r="C486" s="8" t="inlineStr">
        <is>
          <t>Bluetooth SIG 的路線圖</t>
        </is>
      </c>
      <c r="D486" s="7" t="inlineStr">
        <is>
          <t>市場調查</t>
        </is>
      </c>
      <c r="E486" s="12" t="inlineStr">
        <is>
          <t>Bluetooth Core 6.0 之後</t>
        </is>
      </c>
      <c r="F486" s="8" t="inlineStr">
        <is>
          <t>標準組織的方向</t>
        </is>
      </c>
      <c r="G486" s="7" t="inlineStr">
        <is>
          <t>技術部落格</t>
        </is>
      </c>
      <c r="H486" s="7" t="inlineStr">
        <is>
          <t>L2</t>
        </is>
      </c>
    </row>
    <row r="487">
      <c r="A487" s="10" t="inlineStr">
        <is>
          <t>C29-10</t>
        </is>
      </c>
      <c r="B487" s="10" t="inlineStr">
        <is>
          <t>C29 國際科技觀察</t>
        </is>
      </c>
      <c r="C487" s="11" t="inlineStr">
        <is>
          <t>各國的失智政策，誰做得最好</t>
        </is>
      </c>
      <c r="D487" s="10" t="inlineStr">
        <is>
          <t>市場調查</t>
        </is>
      </c>
      <c r="E487" s="12" t="inlineStr">
        <is>
          <t>WHO 全球失智行動計畫</t>
        </is>
      </c>
      <c r="F487" s="11" t="inlineStr">
        <is>
          <t>政策國際比較</t>
        </is>
      </c>
      <c r="G487" s="10" t="inlineStr">
        <is>
          <t>部落格</t>
        </is>
      </c>
      <c r="H487" s="10" t="inlineStr">
        <is>
          <t>L0</t>
        </is>
      </c>
    </row>
    <row r="488">
      <c r="A488" s="7" t="inlineStr">
        <is>
          <t>C29-11</t>
        </is>
      </c>
      <c r="B488" s="7" t="inlineStr">
        <is>
          <t>C29 國際科技觀察</t>
        </is>
      </c>
      <c r="C488" s="8" t="inlineStr">
        <is>
          <t>國外的走失協尋系統長什麼樣</t>
        </is>
      </c>
      <c r="D488" s="7" t="inlineStr">
        <is>
          <t>市場調查</t>
        </is>
      </c>
      <c r="E488" s="12" t="inlineStr">
        <is>
          <t>Silver Alert 等機制</t>
        </is>
      </c>
      <c r="F488" s="8" t="inlineStr">
        <is>
          <t>公共機制的國際對照</t>
        </is>
      </c>
      <c r="G488" s="7" t="inlineStr">
        <is>
          <t>部落格</t>
        </is>
      </c>
      <c r="H488" s="7" t="inlineStr">
        <is>
          <t>L1</t>
        </is>
      </c>
    </row>
    <row r="489">
      <c r="A489" s="10" t="inlineStr">
        <is>
          <t>C29-12</t>
        </is>
      </c>
      <c r="B489" s="10" t="inlineStr">
        <is>
          <t>C29 國際科技觀察</t>
        </is>
      </c>
      <c r="C489" s="11" t="inlineStr">
        <is>
          <t>亞洲的高齡化速度排名</t>
        </is>
      </c>
      <c r="D489" s="10" t="inlineStr">
        <is>
          <t>市場調查</t>
        </is>
      </c>
      <c r="E489" s="12" t="inlineStr">
        <is>
          <t>聯合國人口資料</t>
        </is>
      </c>
      <c r="F489" s="11" t="inlineStr">
        <is>
          <t>議題規模的國際視角</t>
        </is>
      </c>
      <c r="G489" s="10" t="inlineStr">
        <is>
          <t>Threads</t>
        </is>
      </c>
      <c r="H489" s="10" t="inlineStr">
        <is>
          <t>L0</t>
        </is>
      </c>
    </row>
    <row r="490">
      <c r="A490" s="7" t="inlineStr">
        <is>
          <t>C29-13</t>
        </is>
      </c>
      <c r="B490" s="7" t="inlineStr">
        <is>
          <t>C29 國際科技觀察</t>
        </is>
      </c>
      <c r="C490" s="8" t="inlineStr">
        <is>
          <t>國際照顧科技展在展什麼</t>
        </is>
      </c>
      <c r="D490" s="7" t="inlineStr">
        <is>
          <t>市場調查</t>
        </is>
      </c>
      <c r="E490" s="12" t="inlineStr">
        <is>
          <t>國際展會趨勢</t>
        </is>
      </c>
      <c r="F490" s="8" t="inlineStr">
        <is>
          <t>產業趨勢追蹤</t>
        </is>
      </c>
      <c r="G490" s="7" t="inlineStr">
        <is>
          <t>產業媒體</t>
        </is>
      </c>
      <c r="H490" s="7" t="inlineStr">
        <is>
          <t>L1</t>
        </is>
      </c>
    </row>
    <row r="491">
      <c r="A491" s="10" t="inlineStr">
        <is>
          <t>C29-14</t>
        </is>
      </c>
      <c r="B491" s="10" t="inlineStr">
        <is>
          <t>C29 國際科技觀察</t>
        </is>
      </c>
      <c r="C491" s="11" t="inlineStr">
        <is>
          <t>台灣的定位技術，在國際上什麼位置</t>
        </is>
      </c>
      <c r="D491" s="10" t="inlineStr">
        <is>
          <t>市場調查</t>
        </is>
      </c>
      <c r="E491" s="12" t="inlineStr">
        <is>
          <t>本土 vs 國際廠商</t>
        </is>
      </c>
      <c r="F491" s="11" t="inlineStr">
        <is>
          <t>自我定位的誠實評估</t>
        </is>
      </c>
      <c r="G491" s="10" t="inlineStr">
        <is>
          <t>技術部落格</t>
        </is>
      </c>
      <c r="H491" s="10" t="inlineStr">
        <is>
          <t>L2</t>
        </is>
      </c>
    </row>
    <row r="492">
      <c r="A492" s="7" t="inlineStr">
        <is>
          <t>C29-15</t>
        </is>
      </c>
      <c r="B492" s="7" t="inlineStr">
        <is>
          <t>C29 國際科技觀察</t>
        </is>
      </c>
      <c r="C492" s="8" t="inlineStr">
        <is>
          <t>為什麼國際大廠不做長照定位</t>
        </is>
      </c>
      <c r="D492" s="7" t="inlineStr">
        <is>
          <t>現象觀察</t>
        </is>
      </c>
      <c r="E492" s="12" t="inlineStr">
        <is>
          <t>市場規模與在地性</t>
        </is>
      </c>
      <c r="F492" s="8" t="inlineStr">
        <is>
          <t>利基市場的存在理由</t>
        </is>
      </c>
      <c r="G492" s="7" t="inlineStr">
        <is>
          <t>產業媒體</t>
        </is>
      </c>
      <c r="H492" s="7" t="inlineStr">
        <is>
          <t>L2</t>
        </is>
      </c>
    </row>
    <row r="493">
      <c r="A493" s="10" t="inlineStr">
        <is>
          <t>C29-16</t>
        </is>
      </c>
      <c r="B493" s="10" t="inlineStr">
        <is>
          <t>C29 國際科技觀察</t>
        </is>
      </c>
      <c r="C493" s="11" t="inlineStr">
        <is>
          <t>跨國照顧移工的資訊落差</t>
        </is>
      </c>
      <c r="D493" s="10" t="inlineStr">
        <is>
          <t>社會現狀</t>
        </is>
      </c>
      <c r="E493" s="11" t="inlineStr">
        <is>
          <t>—</t>
        </is>
      </c>
      <c r="F493" s="11" t="inlineStr">
        <is>
          <t>全球照顧鏈</t>
        </is>
      </c>
      <c r="G493" s="10" t="inlineStr">
        <is>
          <t>Threads</t>
        </is>
      </c>
      <c r="H493" s="10" t="inlineStr">
        <is>
          <t>L0</t>
        </is>
      </c>
    </row>
    <row r="494">
      <c r="A494" s="7" t="inlineStr">
        <is>
          <t>C29-17</t>
        </is>
      </c>
      <c r="B494" s="7" t="inlineStr">
        <is>
          <t>C29 國際科技觀察</t>
        </is>
      </c>
      <c r="C494" s="8" t="inlineStr">
        <is>
          <t>在地化，為什麼是外商追不上的護城河</t>
        </is>
      </c>
      <c r="D494" s="7" t="inlineStr">
        <is>
          <t>跨界類比</t>
        </is>
      </c>
      <c r="E494" s="12" t="inlineStr">
        <is>
          <t>補助制度與在地通路</t>
        </is>
      </c>
      <c r="F494" s="8" t="inlineStr">
        <is>
          <t>本土優勢的論述</t>
        </is>
      </c>
      <c r="G494" s="7" t="inlineStr">
        <is>
          <t>產業媒體</t>
        </is>
      </c>
      <c r="H494" s="7" t="inlineStr">
        <is>
          <t>L2</t>
        </is>
      </c>
    </row>
    <row r="495">
      <c r="A495" s="10" t="inlineStr">
        <is>
          <t>C30-01</t>
        </is>
      </c>
      <c r="B495" s="10" t="inlineStr">
        <is>
          <t>C30 世代觀察與社會現象</t>
        </is>
      </c>
      <c r="C495" s="11" t="inlineStr">
        <is>
          <t>超高齡社會，今年真的到了</t>
        </is>
      </c>
      <c r="D495" s="10" t="inlineStr">
        <is>
          <t>社會現狀</t>
        </is>
      </c>
      <c r="E495" s="12" t="inlineStr">
        <is>
          <t>人口統計</t>
        </is>
      </c>
      <c r="F495" s="11" t="inlineStr">
        <is>
          <t>議題重量的基礎</t>
        </is>
      </c>
      <c r="G495" s="10" t="inlineStr">
        <is>
          <t>Threads</t>
        </is>
      </c>
      <c r="H495" s="10" t="inlineStr">
        <is>
          <t>L0</t>
        </is>
      </c>
    </row>
    <row r="496">
      <c r="A496" s="7" t="inlineStr">
        <is>
          <t>C30-02</t>
        </is>
      </c>
      <c r="B496" s="7" t="inlineStr">
        <is>
          <t>C30 世代觀察與社會現象</t>
        </is>
      </c>
      <c r="C496" s="8" t="inlineStr">
        <is>
          <t>三明治世代的一天</t>
        </is>
      </c>
      <c r="D496" s="7" t="inlineStr">
        <is>
          <t>社會現狀</t>
        </is>
      </c>
      <c r="E496" s="8" t="inlineStr">
        <is>
          <t>—</t>
        </is>
      </c>
      <c r="F496" s="8" t="inlineStr">
        <is>
          <t>世代處境的共鳴</t>
        </is>
      </c>
      <c r="G496" s="7" t="inlineStr">
        <is>
          <t>Threads／Dcard</t>
        </is>
      </c>
      <c r="H496" s="7" t="inlineStr">
        <is>
          <t>L0</t>
        </is>
      </c>
    </row>
    <row r="497">
      <c r="A497" s="10" t="inlineStr">
        <is>
          <t>C30-03</t>
        </is>
      </c>
      <c r="B497" s="10" t="inlineStr">
        <is>
          <t>C30 世代觀察與社會現象</t>
        </is>
      </c>
      <c r="C497" s="11" t="inlineStr">
        <is>
          <t>為什麼我們對「老」這麼焦慮</t>
        </is>
      </c>
      <c r="D497" s="10" t="inlineStr">
        <is>
          <t>社會現狀</t>
        </is>
      </c>
      <c r="E497" s="11" t="inlineStr">
        <is>
          <t>—</t>
        </is>
      </c>
      <c r="F497" s="11" t="inlineStr">
        <is>
          <t>文化心理的探討</t>
        </is>
      </c>
      <c r="G497" s="10" t="inlineStr">
        <is>
          <t>Threads</t>
        </is>
      </c>
      <c r="H497" s="10" t="inlineStr">
        <is>
          <t>L0</t>
        </is>
      </c>
    </row>
    <row r="498">
      <c r="A498" s="7" t="inlineStr">
        <is>
          <t>C30-04</t>
        </is>
      </c>
      <c r="B498" s="7" t="inlineStr">
        <is>
          <t>C30 世代觀察與社會現象</t>
        </is>
      </c>
      <c r="C498" s="8" t="inlineStr">
        <is>
          <t>照顧離職，一年有多少人</t>
        </is>
      </c>
      <c r="D498" s="7" t="inlineStr">
        <is>
          <t>市場調查</t>
        </is>
      </c>
      <c r="E498" s="8" t="inlineStr">
        <is>
          <t>—</t>
        </is>
      </c>
      <c r="F498" s="8" t="inlineStr">
        <is>
          <t>社會成本的量化</t>
        </is>
      </c>
      <c r="G498" s="7" t="inlineStr">
        <is>
          <t>Threads</t>
        </is>
      </c>
      <c r="H498" s="7" t="inlineStr">
        <is>
          <t>L0</t>
        </is>
      </c>
    </row>
    <row r="499">
      <c r="A499" s="10" t="inlineStr">
        <is>
          <t>C30-05</t>
        </is>
      </c>
      <c r="B499" s="10" t="inlineStr">
        <is>
          <t>C30 世代觀察與社會現象</t>
        </is>
      </c>
      <c r="C499" s="11" t="inlineStr">
        <is>
          <t>長照新聞底下的留言，在吵什麼</t>
        </is>
      </c>
      <c r="D499" s="10" t="inlineStr">
        <is>
          <t>現象觀察</t>
        </is>
      </c>
      <c r="E499" s="11" t="inlineStr">
        <is>
          <t>—</t>
        </is>
      </c>
      <c r="F499" s="11" t="inlineStr">
        <is>
          <t>輿論結構的觀察</t>
        </is>
      </c>
      <c r="G499" s="10" t="inlineStr">
        <is>
          <t>Threads</t>
        </is>
      </c>
      <c r="H499" s="10" t="inlineStr">
        <is>
          <t>L0</t>
        </is>
      </c>
    </row>
    <row r="500">
      <c r="A500" s="7" t="inlineStr">
        <is>
          <t>C30-06</t>
        </is>
      </c>
      <c r="B500" s="7" t="inlineStr">
        <is>
          <t>C30 世代觀察與社會現象</t>
        </is>
      </c>
      <c r="C500" s="8" t="inlineStr">
        <is>
          <t>科技解決不了的那一塊，是什麼</t>
        </is>
      </c>
      <c r="D500" s="7" t="inlineStr">
        <is>
          <t>社會現狀</t>
        </is>
      </c>
      <c r="E500" s="8" t="inlineStr">
        <is>
          <t>—</t>
        </is>
      </c>
      <c r="F500" s="8" t="inlineStr">
        <is>
          <t>誠實的邊界</t>
        </is>
      </c>
      <c r="G500" s="7" t="inlineStr">
        <is>
          <t>Threads</t>
        </is>
      </c>
      <c r="H500" s="7" t="inlineStr">
        <is>
          <t>L0</t>
        </is>
      </c>
    </row>
    <row r="501">
      <c r="A501" s="10" t="inlineStr">
        <is>
          <t>C30-07</t>
        </is>
      </c>
      <c r="B501" s="10" t="inlineStr">
        <is>
          <t>C30 世代觀察與社會現象</t>
        </is>
      </c>
      <c r="C501" s="11" t="inlineStr">
        <is>
          <t>我們這代人，會怎麼老</t>
        </is>
      </c>
      <c r="D501" s="10" t="inlineStr">
        <is>
          <t>社會現狀</t>
        </is>
      </c>
      <c r="E501" s="11" t="inlineStr">
        <is>
          <t>—</t>
        </is>
      </c>
      <c r="F501" s="11" t="inlineStr">
        <is>
          <t>世代投射</t>
        </is>
      </c>
      <c r="G501" s="10" t="inlineStr">
        <is>
          <t>Threads</t>
        </is>
      </c>
      <c r="H501" s="10" t="inlineStr">
        <is>
          <t>L0</t>
        </is>
      </c>
    </row>
    <row r="502">
      <c r="A502" s="7" t="inlineStr">
        <is>
          <t>C30-08</t>
        </is>
      </c>
      <c r="B502" s="7" t="inlineStr">
        <is>
          <t>C30 世代觀察與社會現象</t>
        </is>
      </c>
      <c r="C502" s="8" t="inlineStr">
        <is>
          <t>獨居戶數成長的曲線</t>
        </is>
      </c>
      <c r="D502" s="7" t="inlineStr">
        <is>
          <t>市場調查</t>
        </is>
      </c>
      <c r="E502" s="12" t="inlineStr">
        <is>
          <t>戶政統計</t>
        </is>
      </c>
      <c r="F502" s="8" t="inlineStr">
        <is>
          <t>家庭結構改變</t>
        </is>
      </c>
      <c r="G502" s="7" t="inlineStr">
        <is>
          <t>Threads</t>
        </is>
      </c>
      <c r="H502" s="7" t="inlineStr">
        <is>
          <t>L0</t>
        </is>
      </c>
    </row>
    <row r="503">
      <c r="A503" s="10" t="inlineStr">
        <is>
          <t>C30-09</t>
        </is>
      </c>
      <c r="B503" s="10" t="inlineStr">
        <is>
          <t>C30 世代觀察與社會現象</t>
        </is>
      </c>
      <c r="C503" s="11" t="inlineStr">
        <is>
          <t>數位落差，在高齡族群多大</t>
        </is>
      </c>
      <c r="D503" s="10" t="inlineStr">
        <is>
          <t>市場調查</t>
        </is>
      </c>
      <c r="E503" s="11" t="inlineStr">
        <is>
          <t>—</t>
        </is>
      </c>
      <c r="F503" s="11" t="inlineStr">
        <is>
          <t>接受度的結構因素</t>
        </is>
      </c>
      <c r="G503" s="10" t="inlineStr">
        <is>
          <t>產業媒體</t>
        </is>
      </c>
      <c r="H503" s="10" t="inlineStr">
        <is>
          <t>L0</t>
        </is>
      </c>
    </row>
    <row r="504">
      <c r="A504" s="7" t="inlineStr">
        <is>
          <t>C30-10</t>
        </is>
      </c>
      <c r="B504" s="7" t="inlineStr">
        <is>
          <t>C30 世代觀察與社會現象</t>
        </is>
      </c>
      <c r="C504" s="8" t="inlineStr">
        <is>
          <t>「不想造成別人麻煩」的文化</t>
        </is>
      </c>
      <c r="D504" s="7" t="inlineStr">
        <is>
          <t>社會現狀</t>
        </is>
      </c>
      <c r="E504" s="8" t="inlineStr">
        <is>
          <t>—</t>
        </is>
      </c>
      <c r="F504" s="8" t="inlineStr">
        <is>
          <t>求助行為的文化障礙</t>
        </is>
      </c>
      <c r="G504" s="7" t="inlineStr">
        <is>
          <t>Threads</t>
        </is>
      </c>
      <c r="H504" s="7" t="inlineStr">
        <is>
          <t>L0</t>
        </is>
      </c>
    </row>
    <row r="505">
      <c r="A505" s="10" t="inlineStr">
        <is>
          <t>C30-11</t>
        </is>
      </c>
      <c r="B505" s="10" t="inlineStr">
        <is>
          <t>C30 世代觀察與社會現象</t>
        </is>
      </c>
      <c r="C505" s="11" t="inlineStr">
        <is>
          <t>為什麼免費的資源也沒人用</t>
        </is>
      </c>
      <c r="D505" s="10" t="inlineStr">
        <is>
          <t>現象觀察</t>
        </is>
      </c>
      <c r="E505" s="12" t="inlineStr">
        <is>
          <t>滲透率資料</t>
        </is>
      </c>
      <c r="F505" s="11" t="inlineStr">
        <is>
          <t>品類失敗的核心提問</t>
        </is>
      </c>
      <c r="G505" s="10" t="inlineStr">
        <is>
          <t>Threads</t>
        </is>
      </c>
      <c r="H505" s="10" t="inlineStr">
        <is>
          <t>L1</t>
        </is>
      </c>
    </row>
    <row r="506">
      <c r="A506" s="7" t="inlineStr">
        <is>
          <t>C30-12</t>
        </is>
      </c>
      <c r="B506" s="7" t="inlineStr">
        <is>
          <t>C30 世代觀察與社會現象</t>
        </is>
      </c>
      <c r="C506" s="8" t="inlineStr">
        <is>
          <t>被標籤化的恐懼，有多真實</t>
        </is>
      </c>
      <c r="D506" s="7" t="inlineStr">
        <is>
          <t>社會現狀</t>
        </is>
      </c>
      <c r="E506" s="8" t="inlineStr">
        <is>
          <t>—</t>
        </is>
      </c>
      <c r="F506" s="8" t="inlineStr">
        <is>
          <t>抗拒的心理根源</t>
        </is>
      </c>
      <c r="G506" s="7" t="inlineStr">
        <is>
          <t>Threads</t>
        </is>
      </c>
      <c r="H506" s="7" t="inlineStr">
        <is>
          <t>L1</t>
        </is>
      </c>
    </row>
    <row r="507">
      <c r="A507" s="10" t="inlineStr">
        <is>
          <t>C30-13</t>
        </is>
      </c>
      <c r="B507" s="10" t="inlineStr">
        <is>
          <t>C30 世代觀察與社會現象</t>
        </is>
      </c>
      <c r="C507" s="11" t="inlineStr">
        <is>
          <t>照顧與工作，能不能兩全</t>
        </is>
      </c>
      <c r="D507" s="10" t="inlineStr">
        <is>
          <t>社會現狀</t>
        </is>
      </c>
      <c r="E507" s="11" t="inlineStr">
        <is>
          <t>—</t>
        </is>
      </c>
      <c r="F507" s="11" t="inlineStr">
        <is>
          <t>制度與現實的落差</t>
        </is>
      </c>
      <c r="G507" s="10" t="inlineStr">
        <is>
          <t>Threads</t>
        </is>
      </c>
      <c r="H507" s="10" t="inlineStr">
        <is>
          <t>L0</t>
        </is>
      </c>
    </row>
    <row r="508">
      <c r="A508" s="7" t="inlineStr">
        <is>
          <t>C30-14</t>
        </is>
      </c>
      <c r="B508" s="7" t="inlineStr">
        <is>
          <t>C30 世代觀察與社會現象</t>
        </is>
      </c>
      <c r="C508" s="8" t="inlineStr">
        <is>
          <t>AI 進入照顧現場，我們準備好了嗎</t>
        </is>
      </c>
      <c r="D508" s="7" t="inlineStr">
        <is>
          <t>現象觀察</t>
        </is>
      </c>
      <c r="E508" s="12" t="inlineStr">
        <is>
          <t>AI 照顧應用</t>
        </is>
      </c>
      <c r="F508" s="8" t="inlineStr">
        <is>
          <t>技術與倫理的討論</t>
        </is>
      </c>
      <c r="G508" s="7" t="inlineStr">
        <is>
          <t>Threads</t>
        </is>
      </c>
      <c r="H508" s="7" t="inlineStr">
        <is>
          <t>L1</t>
        </is>
      </c>
    </row>
    <row r="509">
      <c r="A509" s="10" t="inlineStr">
        <is>
          <t>C30-15</t>
        </is>
      </c>
      <c r="B509" s="10" t="inlineStr">
        <is>
          <t>C30 世代觀察與社會現象</t>
        </is>
      </c>
      <c r="C509" s="11" t="inlineStr">
        <is>
          <t>一個人可以照顧幾個人</t>
        </is>
      </c>
      <c r="D509" s="10" t="inlineStr">
        <is>
          <t>市場調查</t>
        </is>
      </c>
      <c r="E509" s="12" t="inlineStr">
        <is>
          <t>人力配置</t>
        </is>
      </c>
      <c r="F509" s="11" t="inlineStr">
        <is>
          <t>照顧人力的數學</t>
        </is>
      </c>
      <c r="G509" s="10" t="inlineStr">
        <is>
          <t>產業媒體</t>
        </is>
      </c>
      <c r="H509" s="10" t="inlineStr">
        <is>
          <t>L0</t>
        </is>
      </c>
    </row>
    <row r="510">
      <c r="A510" s="7" t="inlineStr">
        <is>
          <t>C30-16</t>
        </is>
      </c>
      <c r="B510" s="7" t="inlineStr">
        <is>
          <t>C30 世代觀察與社會現象</t>
        </is>
      </c>
      <c r="C510" s="8" t="inlineStr">
        <is>
          <t>當照顧變成全民議題</t>
        </is>
      </c>
      <c r="D510" s="7" t="inlineStr">
        <is>
          <t>社會現狀</t>
        </is>
      </c>
      <c r="E510" s="8" t="inlineStr">
        <is>
          <t>—</t>
        </is>
      </c>
      <c r="F510" s="8" t="inlineStr">
        <is>
          <t>議題升級的呼籲</t>
        </is>
      </c>
      <c r="G510" s="7" t="inlineStr">
        <is>
          <t>投書</t>
        </is>
      </c>
      <c r="H510" s="7" t="inlineStr">
        <is>
          <t>L0</t>
        </is>
      </c>
    </row>
    <row r="511">
      <c r="A511" s="10" t="inlineStr">
        <is>
          <t>C30-17</t>
        </is>
      </c>
      <c r="B511" s="10" t="inlineStr">
        <is>
          <t>C30 世代觀察與社會現象</t>
        </is>
      </c>
      <c r="C511" s="11" t="inlineStr">
        <is>
          <t>十年後，我們希望被怎麼照顧</t>
        </is>
      </c>
      <c r="D511" s="10" t="inlineStr">
        <is>
          <t>問卷調查</t>
        </is>
      </c>
      <c r="E511" s="11" t="inlineStr">
        <is>
          <t>—</t>
        </is>
      </c>
      <c r="F511" s="11" t="inlineStr">
        <is>
          <t>最有共鳴的收尾題</t>
        </is>
      </c>
      <c r="G511" s="10" t="inlineStr">
        <is>
          <t>Threads</t>
        </is>
      </c>
      <c r="H511" s="10" t="inlineStr">
        <is>
          <t>L0</t>
        </is>
      </c>
    </row>
  </sheetData>
  <autoFilter ref="A1:H5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5" t="inlineStr">
        <is>
          <t>兩線合併統計</t>
        </is>
      </c>
    </row>
    <row r="3">
      <c r="A3" s="13" t="inlineStr">
        <is>
          <t>線 A 題數</t>
        </is>
      </c>
      <c r="B3" s="13">
        <f>COUNTA('線A-議題樹344'!A2:A345)</f>
        <v/>
      </c>
    </row>
    <row r="4">
      <c r="A4" s="13" t="inlineStr">
        <is>
          <t>線 C 題數</t>
        </is>
      </c>
      <c r="B4" s="13">
        <f>COUNTA('線C-生活滲透510'!A2:A511)</f>
        <v/>
      </c>
    </row>
    <row r="5">
      <c r="A5" s="13" t="inlineStr">
        <is>
          <t>合計</t>
        </is>
      </c>
      <c r="B5" s="13">
        <f>B3+B4</f>
        <v/>
      </c>
    </row>
    <row r="6">
      <c r="A6" s="13" t="inlineStr">
        <is>
          <t>線 C 帶國際技術錨點</t>
        </is>
      </c>
      <c r="B6" s="13">
        <f>COUNTIF('線C-生活滲透510'!E2:E511,"&lt;&gt;—")</f>
        <v/>
      </c>
    </row>
    <row r="8">
      <c r="A8" s="14" t="inlineStr">
        <is>
          <t>線 A 群集</t>
        </is>
      </c>
      <c r="B8" s="14" t="inlineStr">
        <is>
          <t>題數</t>
        </is>
      </c>
      <c r="C8" s="14" t="inlineStr">
        <is>
          <t>P1 首波</t>
        </is>
      </c>
    </row>
    <row r="9">
      <c r="A9" s="3" t="inlineStr">
        <is>
          <t>A1 走失預防與協尋實務</t>
        </is>
      </c>
      <c r="B9" s="3">
        <f>COUNTIF('線A-議題樹344'!$B$2:$B$345,$A9)</f>
        <v/>
      </c>
      <c r="C9" s="3">
        <f>COUNTIFS('線A-議題樹344'!$B$2:$B$345,$A9,'線A-議題樹344'!$H$2:$H$345,"P1")</f>
        <v/>
      </c>
    </row>
    <row r="10">
      <c r="A10" s="3" t="inlineStr">
        <is>
          <t>A2 補助政策與申請流程</t>
        </is>
      </c>
      <c r="B10" s="3">
        <f>COUNTIF('線A-議題樹344'!$B$2:$B$345,$A10)</f>
        <v/>
      </c>
      <c r="C10" s="3">
        <f>COUNTIFS('線A-議題樹344'!$B$2:$B$345,$A10,'線A-議題樹344'!$H$2:$H$345,"P1")</f>
        <v/>
      </c>
    </row>
    <row r="11">
      <c r="A11" s="3" t="inlineStr">
        <is>
          <t>A3 照顧者日常與家庭溝通</t>
        </is>
      </c>
      <c r="B11" s="3">
        <f>COUNTIF('線A-議題樹344'!$B$2:$B$345,$A11)</f>
        <v/>
      </c>
      <c r="C11" s="3">
        <f>COUNTIFS('線A-議題樹344'!$B$2:$B$345,$A11,'線A-議題樹344'!$H$2:$H$345,"P1")</f>
        <v/>
      </c>
    </row>
    <row r="12">
      <c r="A12" s="3" t="inlineStr">
        <is>
          <t>A4 定位輔具選購與比較</t>
        </is>
      </c>
      <c r="B12" s="3">
        <f>COUNTIF('線A-議題樹344'!$B$2:$B$345,$A12)</f>
        <v/>
      </c>
      <c r="C12" s="3">
        <f>COUNTIFS('線A-議題樹344'!$B$2:$B$345,$A12,'線A-議題樹344'!$H$2:$H$345,"P1")</f>
        <v/>
      </c>
    </row>
    <row r="13">
      <c r="A13" s="3" t="inlineStr">
        <is>
          <t>A5 長照機構與日照導入</t>
        </is>
      </c>
      <c r="B13" s="3">
        <f>COUNTIF('線A-議題樹344'!$B$2:$B$345,$A13)</f>
        <v/>
      </c>
      <c r="C13" s="3">
        <f>COUNTIFS('線A-議題樹344'!$B$2:$B$345,$A13,'線A-議題樹344'!$H$2:$H$345,"P1")</f>
        <v/>
      </c>
    </row>
    <row r="14">
      <c r="A14" s="3" t="inlineStr">
        <is>
          <t>A6 工廠工安與人員資產定位</t>
        </is>
      </c>
      <c r="B14" s="3">
        <f>COUNTIF('線A-議題樹344'!$B$2:$B$345,$A14)</f>
        <v/>
      </c>
      <c r="C14" s="3">
        <f>COUNTIFS('線A-議題樹344'!$B$2:$B$345,$A14,'線A-議題樹344'!$H$2:$H$345,"P1")</f>
        <v/>
      </c>
    </row>
    <row r="15">
      <c r="A15" s="3" t="inlineStr">
        <is>
          <t>A7 物流倉儲與冷鏈</t>
        </is>
      </c>
      <c r="B15" s="3">
        <f>COUNTIF('線A-議題樹344'!$B$2:$B$345,$A15)</f>
        <v/>
      </c>
      <c r="C15" s="3">
        <f>COUNTIFS('線A-議題樹344'!$B$2:$B$345,$A15,'線A-議題樹344'!$H$2:$H$345,"P1")</f>
        <v/>
      </c>
    </row>
    <row r="16">
      <c r="A16" s="3" t="inlineStr">
        <is>
          <t>A8 醫院設備與病患安全</t>
        </is>
      </c>
      <c r="B16" s="3">
        <f>COUNTIF('線A-議題樹344'!$B$2:$B$345,$A16)</f>
        <v/>
      </c>
      <c r="C16" s="3">
        <f>COUNTIFS('線A-議題樹344'!$B$2:$B$345,$A16,'線A-議題樹344'!$H$2:$H$345,"P1")</f>
        <v/>
      </c>
    </row>
    <row r="17">
      <c r="A17" s="3" t="inlineStr">
        <is>
          <t>A9 定位技術科普與選型</t>
        </is>
      </c>
      <c r="B17" s="3">
        <f>COUNTIF('線A-議題樹344'!$B$2:$B$345,$A17)</f>
        <v/>
      </c>
      <c r="C17" s="3">
        <f>COUNTIFS('線A-議題樹344'!$B$2:$B$345,$A17,'線A-議題樹344'!$H$2:$H$345,"P1")</f>
        <v/>
      </c>
    </row>
    <row r="18">
      <c r="A18" s="3" t="inlineStr">
        <is>
          <t>A10 隱私倫理與社會議題</t>
        </is>
      </c>
      <c r="B18" s="3">
        <f>COUNTIF('線A-議題樹344'!$B$2:$B$345,$A18)</f>
        <v/>
      </c>
      <c r="C18" s="3">
        <f>COUNTIFS('線A-議題樹344'!$B$2:$B$345,$A18,'線A-議題樹344'!$H$2:$H$345,"P1")</f>
        <v/>
      </c>
    </row>
    <row r="19">
      <c r="A19" s="3" t="inlineStr">
        <is>
          <t>A11 通路與經銷商</t>
        </is>
      </c>
      <c r="B19" s="3">
        <f>COUNTIF('線A-議題樹344'!$B$2:$B$345,$A19)</f>
        <v/>
      </c>
      <c r="C19" s="3">
        <f>COUNTIFS('線A-議題樹344'!$B$2:$B$345,$A19,'線A-議題樹344'!$H$2:$H$345,"P1")</f>
        <v/>
      </c>
    </row>
    <row r="20">
      <c r="A20" s="3" t="inlineStr">
        <is>
          <t>A12 政策與制度解讀</t>
        </is>
      </c>
      <c r="B20" s="3">
        <f>COUNTIF('線A-議題樹344'!$B$2:$B$345,$A20)</f>
        <v/>
      </c>
      <c r="C20" s="3">
        <f>COUNTIFS('線A-議題樹344'!$B$2:$B$345,$A20,'線A-議題樹344'!$H$2:$H$345,"P1")</f>
        <v/>
      </c>
    </row>
    <row r="21">
      <c r="A21" s="3" t="inlineStr">
        <is>
          <t>A13 品類失敗與社會觀察</t>
        </is>
      </c>
      <c r="B21" s="3">
        <f>COUNTIF('線A-議題樹344'!$B$2:$B$345,$A21)</f>
        <v/>
      </c>
      <c r="C21" s="3">
        <f>COUNTIFS('線A-議題樹344'!$B$2:$B$345,$A21,'線A-議題樹344'!$H$2:$H$345,"P1")</f>
        <v/>
      </c>
    </row>
    <row r="22">
      <c r="A22" s="3" t="inlineStr">
        <is>
          <t>A14 專業人員增能</t>
        </is>
      </c>
      <c r="B22" s="3">
        <f>COUNTIF('線A-議題樹344'!$B$2:$B$345,$A22)</f>
        <v/>
      </c>
      <c r="C22" s="3">
        <f>COUNTIFS('線A-議題樹344'!$B$2:$B$345,$A22,'線A-議題樹344'!$H$2:$H$345,"P1")</f>
        <v/>
      </c>
    </row>
    <row r="23">
      <c r="A23" s="3" t="inlineStr">
        <is>
          <t>A15 通路現場與轉介節點</t>
        </is>
      </c>
      <c r="B23" s="3">
        <f>COUNTIF('線A-議題樹344'!$B$2:$B$345,$A23)</f>
        <v/>
      </c>
      <c r="C23" s="3">
        <f>COUNTIFS('線A-議題樹344'!$B$2:$B$345,$A23,'線A-議題樹344'!$H$2:$H$345,"P1")</f>
        <v/>
      </c>
    </row>
    <row r="24">
      <c r="A24" s="3" t="inlineStr">
        <is>
          <t>A16 留存轉介與口碑</t>
        </is>
      </c>
      <c r="B24" s="3">
        <f>COUNTIF('線A-議題樹344'!$B$2:$B$345,$A24)</f>
        <v/>
      </c>
      <c r="C24" s="3">
        <f>COUNTIFS('線A-議題樹344'!$B$2:$B$345,$A24,'線A-議題樹344'!$H$2:$H$345,"P1")</f>
        <v/>
      </c>
    </row>
    <row r="25">
      <c r="A25" s="15" t="inlineStr">
        <is>
          <t>小計</t>
        </is>
      </c>
      <c r="B25" s="15">
        <f>SUM(B9:B24)</f>
        <v/>
      </c>
      <c r="C25" s="15">
        <f>SUM(C9:C24)</f>
        <v/>
      </c>
    </row>
    <row r="27">
      <c r="A27" s="14" t="inlineStr">
        <is>
          <t>線 C 生活群集</t>
        </is>
      </c>
      <c r="B27" s="14" t="inlineStr">
        <is>
          <t>題數</t>
        </is>
      </c>
    </row>
    <row r="28">
      <c r="A28" s="3" t="inlineStr">
        <is>
          <t>C01 上班族與通勤</t>
        </is>
      </c>
      <c r="B28" s="3">
        <f>COUNTIF('線C-生活滲透510'!$B$2:$B$511,$A28)</f>
        <v/>
      </c>
    </row>
    <row r="29">
      <c r="A29" s="3" t="inlineStr">
        <is>
          <t>C02 家庭育兒與學齡兒童</t>
        </is>
      </c>
      <c r="B29" s="3">
        <f>COUNTIF('線C-生活滲透510'!$B$2:$B$511,$A29)</f>
        <v/>
      </c>
    </row>
    <row r="30">
      <c r="A30" s="3" t="inlineStr">
        <is>
          <t>C03 寵物與毛小孩</t>
        </is>
      </c>
      <c r="B30" s="3">
        <f>COUNTIF('線C-生活滲透510'!$B$2:$B$511,$A30)</f>
        <v/>
      </c>
    </row>
    <row r="31">
      <c r="A31" s="3" t="inlineStr">
        <is>
          <t>C04 校園與補教</t>
        </is>
      </c>
      <c r="B31" s="3">
        <f>COUNTIF('線C-生活滲透510'!$B$2:$B$511,$A31)</f>
        <v/>
      </c>
    </row>
    <row r="32">
      <c r="A32" s="3" t="inlineStr">
        <is>
          <t>C05 運動健身與路跑</t>
        </is>
      </c>
      <c r="B32" s="3">
        <f>COUNTIF('線C-生活滲透510'!$B$2:$B$511,$A32)</f>
        <v/>
      </c>
    </row>
    <row r="33">
      <c r="A33" s="3" t="inlineStr">
        <is>
          <t>C06 登山露營與戶外</t>
        </is>
      </c>
      <c r="B33" s="3">
        <f>COUNTIF('線C-生活滲透510'!$B$2:$B$511,$A33)</f>
        <v/>
      </c>
    </row>
    <row r="34">
      <c r="A34" s="3" t="inlineStr">
        <is>
          <t>C07 旅遊住宿與行李</t>
        </is>
      </c>
      <c r="B34" s="3">
        <f>COUNTIF('線C-生活滲透510'!$B$2:$B$511,$A34)</f>
        <v/>
      </c>
    </row>
    <row r="35">
      <c r="A35" s="3" t="inlineStr">
        <is>
          <t>C08 餐飲外送與廚房</t>
        </is>
      </c>
      <c r="B35" s="3">
        <f>COUNTIF('線C-生活滲透510'!$B$2:$B$511,$A35)</f>
        <v/>
      </c>
    </row>
    <row r="36">
      <c r="A36" s="3" t="inlineStr">
        <is>
          <t>C09 零售賣場與百貨</t>
        </is>
      </c>
      <c r="B36" s="3">
        <f>COUNTIF('線C-生活滲透510'!$B$2:$B$511,$A36)</f>
        <v/>
      </c>
    </row>
    <row r="37">
      <c r="A37" s="3" t="inlineStr">
        <is>
          <t>C10 傳統市場與攤商</t>
        </is>
      </c>
      <c r="B37" s="3">
        <f>COUNTIF('線C-生活滲透510'!$B$2:$B$511,$A37)</f>
        <v/>
      </c>
    </row>
    <row r="38">
      <c r="A38" s="3" t="inlineStr">
        <is>
          <t>C11 建築工地與職人</t>
        </is>
      </c>
      <c r="B38" s="3">
        <f>COUNTIF('線C-生活滲透510'!$B$2:$B$511,$A38)</f>
        <v/>
      </c>
    </row>
    <row r="39">
      <c r="A39" s="3" t="inlineStr">
        <is>
          <t>C12 農林漁牧</t>
        </is>
      </c>
      <c r="B39" s="3">
        <f>COUNTIF('線C-生活滲透510'!$B$2:$B$511,$A39)</f>
        <v/>
      </c>
    </row>
    <row r="40">
      <c r="A40" s="3" t="inlineStr">
        <is>
          <t>C13 診所藥局與醫療周邊</t>
        </is>
      </c>
      <c r="B40" s="3">
        <f>COUNTIF('線C-生活滲透510'!$B$2:$B$511,$A40)</f>
        <v/>
      </c>
    </row>
    <row r="41">
      <c r="A41" s="3" t="inlineStr">
        <is>
          <t>C14 美業與個人服務</t>
        </is>
      </c>
      <c r="B41" s="3">
        <f>COUNTIF('線C-生活滲透510'!$B$2:$B$511,$A41)</f>
        <v/>
      </c>
    </row>
    <row r="42">
      <c r="A42" s="3" t="inlineStr">
        <is>
          <t>C15 汽機車與維修</t>
        </is>
      </c>
      <c r="B42" s="3">
        <f>COUNTIF('線C-生活滲透510'!$B$2:$B$511,$A42)</f>
        <v/>
      </c>
    </row>
    <row r="43">
      <c r="A43" s="3" t="inlineStr">
        <is>
          <t>C16 物流快遞與搬家</t>
        </is>
      </c>
      <c r="B43" s="3">
        <f>COUNTIF('線C-生活滲透510'!$B$2:$B$511,$A43)</f>
        <v/>
      </c>
    </row>
    <row r="44">
      <c r="A44" s="3" t="inlineStr">
        <is>
          <t>C17 宗教民俗與大型集會</t>
        </is>
      </c>
      <c r="B44" s="3">
        <f>COUNTIF('線C-生活滲透510'!$B$2:$B$511,$A44)</f>
        <v/>
      </c>
    </row>
    <row r="45">
      <c r="A45" s="3" t="inlineStr">
        <is>
          <t>C18 展演會議與觀光景點</t>
        </is>
      </c>
      <c r="B45" s="3">
        <f>COUNTIF('線C-生活滲透510'!$B$2:$B$511,$A45)</f>
        <v/>
      </c>
    </row>
    <row r="46">
      <c r="A46" s="3" t="inlineStr">
        <is>
          <t>C19 保全物管與社區</t>
        </is>
      </c>
      <c r="B46" s="3">
        <f>COUNTIF('線C-生活滲透510'!$B$2:$B$511,$A46)</f>
        <v/>
      </c>
    </row>
    <row r="47">
      <c r="A47" s="3" t="inlineStr">
        <is>
          <t>C20 公共運輸車站機場</t>
        </is>
      </c>
      <c r="B47" s="3">
        <f>COUNTIF('線C-生活滲透510'!$B$2:$B$511,$A47)</f>
        <v/>
      </c>
    </row>
    <row r="48">
      <c r="A48" s="3" t="inlineStr">
        <is>
          <t>C21 銀髮生活（非官方視角）</t>
        </is>
      </c>
      <c r="B48" s="3">
        <f>COUNTIF('線C-生活滲透510'!$B$2:$B$511,$A48)</f>
        <v/>
      </c>
    </row>
    <row r="49">
      <c r="A49" s="3" t="inlineStr">
        <is>
          <t>C22 身心障礙與特教</t>
        </is>
      </c>
      <c r="B49" s="3">
        <f>COUNTIF('線C-生活滲透510'!$B$2:$B$511,$A49)</f>
        <v/>
      </c>
    </row>
    <row r="50">
      <c r="A50" s="3" t="inlineStr">
        <is>
          <t>C23 3C 玩物與收藏</t>
        </is>
      </c>
      <c r="B50" s="3">
        <f>COUNTIF('線C-生活滲透510'!$B$2:$B$511,$A50)</f>
        <v/>
      </c>
    </row>
    <row r="51">
      <c r="A51" s="3" t="inlineStr">
        <is>
          <t>C24 職場管理與人資</t>
        </is>
      </c>
      <c r="B51" s="3">
        <f>COUNTIF('線C-生活滲透510'!$B$2:$B$511,$A51)</f>
        <v/>
      </c>
    </row>
    <row r="52">
      <c r="A52" s="3" t="inlineStr">
        <is>
          <t>C25 災防救難與消防</t>
        </is>
      </c>
      <c r="B52" s="3">
        <f>COUNTIF('線C-生活滲透510'!$B$2:$B$511,$A52)</f>
        <v/>
      </c>
    </row>
    <row r="53">
      <c r="A53" s="3" t="inlineStr">
        <is>
          <t>C26 環保回收與循環</t>
        </is>
      </c>
      <c r="B53" s="3">
        <f>COUNTIF('線C-生活滲透510'!$B$2:$B$511,$A53)</f>
        <v/>
      </c>
    </row>
    <row r="54">
      <c r="A54" s="3" t="inlineStr">
        <is>
          <t>C27 金融保險與風險</t>
        </is>
      </c>
      <c r="B54" s="3">
        <f>COUNTIF('線C-生活滲透510'!$B$2:$B$511,$A54)</f>
        <v/>
      </c>
    </row>
    <row r="55">
      <c r="A55" s="3" t="inlineStr">
        <is>
          <t>C28 法律責任與爭議</t>
        </is>
      </c>
      <c r="B55" s="3">
        <f>COUNTIF('線C-生活滲透510'!$B$2:$B$511,$A55)</f>
        <v/>
      </c>
    </row>
    <row r="56">
      <c r="A56" s="3" t="inlineStr">
        <is>
          <t>C29 國際科技觀察</t>
        </is>
      </c>
      <c r="B56" s="3">
        <f>COUNTIF('線C-生活滲透510'!$B$2:$B$511,$A56)</f>
        <v/>
      </c>
    </row>
    <row r="57">
      <c r="A57" s="3" t="inlineStr">
        <is>
          <t>C30 世代觀察與社會現象</t>
        </is>
      </c>
      <c r="B57" s="3">
        <f>COUNTIF('線C-生活滲透510'!$B$2:$B$511,$A57)</f>
        <v/>
      </c>
    </row>
    <row r="58">
      <c r="A58" s="15" t="inlineStr">
        <is>
          <t>小計</t>
        </is>
      </c>
      <c r="B58" s="15">
        <f>SUM(B28:B57)</f>
        <v/>
      </c>
    </row>
    <row r="60">
      <c r="A60" s="14" t="inlineStr">
        <is>
          <t>線 C 切入形式</t>
        </is>
      </c>
      <c r="B60" s="14" t="inlineStr">
        <is>
          <t>題數</t>
        </is>
      </c>
    </row>
    <row r="61">
      <c r="A61" s="3" t="inlineStr">
        <is>
          <t>現象觀察</t>
        </is>
      </c>
      <c r="B61" s="3">
        <f>COUNTIF('線C-生活滲透510'!$D$2:$D$511,$A61)</f>
        <v/>
      </c>
    </row>
    <row r="62">
      <c r="A62" s="3" t="inlineStr">
        <is>
          <t>市場調查</t>
        </is>
      </c>
      <c r="B62" s="3">
        <f>COUNTIF('線C-生活滲透510'!$D$2:$D$511,$A62)</f>
        <v/>
      </c>
    </row>
    <row r="63">
      <c r="A63" s="3" t="inlineStr">
        <is>
          <t>社會現狀</t>
        </is>
      </c>
      <c r="B63" s="3">
        <f>COUNTIF('線C-生活滲透510'!$D$2:$D$511,$A63)</f>
        <v/>
      </c>
    </row>
    <row r="64">
      <c r="A64" s="3" t="inlineStr">
        <is>
          <t>冷知識</t>
        </is>
      </c>
      <c r="B64" s="3">
        <f>COUNTIF('線C-生活滲透510'!$D$2:$D$511,$A64)</f>
        <v/>
      </c>
    </row>
    <row r="65">
      <c r="A65" s="3" t="inlineStr">
        <is>
          <t>跨界類比</t>
        </is>
      </c>
      <c r="B65" s="3">
        <f>COUNTIF('線C-生活滲透510'!$D$2:$D$511,$A65)</f>
        <v/>
      </c>
    </row>
    <row r="66">
      <c r="A66" s="3" t="inlineStr">
        <is>
          <t>問卷調查</t>
        </is>
      </c>
      <c r="B66" s="3">
        <f>COUNTIF('線C-生活滲透510'!$D$2:$D$511,$A66)</f>
        <v/>
      </c>
    </row>
    <row r="67">
      <c r="A67" s="3" t="inlineStr">
        <is>
          <t>個人發現</t>
        </is>
      </c>
      <c r="B67" s="3">
        <f>COUNTIF('線C-生活滲透510'!$D$2:$D$511,$A67)</f>
        <v/>
      </c>
    </row>
    <row r="70">
      <c r="A70" s="14" t="inlineStr">
        <is>
          <t>收口層級</t>
        </is>
      </c>
      <c r="B70" s="14" t="inlineStr">
        <is>
          <t>線 A</t>
        </is>
      </c>
      <c r="C70" s="14" t="inlineStr">
        <is>
          <t>線 C</t>
        </is>
      </c>
    </row>
    <row r="71">
      <c r="A71" s="3" t="inlineStr">
        <is>
          <t>L0</t>
        </is>
      </c>
      <c r="B71" s="3">
        <f>COUNTIF('線A-議題樹344'!$G$2:$G$345,$A71)</f>
        <v/>
      </c>
      <c r="C71" s="3">
        <f>COUNTIF('線C-生活滲透510'!$H$2:$H$511,$A71)</f>
        <v/>
      </c>
    </row>
    <row r="72">
      <c r="A72" s="3" t="inlineStr">
        <is>
          <t>L1</t>
        </is>
      </c>
      <c r="B72" s="3">
        <f>COUNTIF('線A-議題樹344'!$G$2:$G$345,$A72)</f>
        <v/>
      </c>
      <c r="C72" s="3">
        <f>COUNTIF('線C-生活滲透510'!$H$2:$H$511,$A72)</f>
        <v/>
      </c>
    </row>
    <row r="73">
      <c r="A73" s="3" t="inlineStr">
        <is>
          <t>L2</t>
        </is>
      </c>
      <c r="B73" s="3">
        <f>COUNTIF('線A-議題樹344'!$G$2:$G$345,$A73)</f>
        <v/>
      </c>
      <c r="C73" s="3">
        <f>COUNTIF('線C-生活滲透510'!$H$2:$H$511,$A73)</f>
        <v/>
      </c>
    </row>
    <row r="74">
      <c r="A74" s="3" t="inlineStr">
        <is>
          <t>L3</t>
        </is>
      </c>
      <c r="B74" s="3">
        <f>COUNTIF('線A-議題樹344'!$G$2:$G$345,$A74)</f>
        <v/>
      </c>
      <c r="C74" s="3">
        <f>COUNTIF('線C-生活滲透510'!$H$2:$H$511,$A74)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2026-09-19T04:52:17Z</dcterms:created>
  <dcterms:modified xsi:type="dcterms:W3CDTF">2026-09-19T04:52:18Z</dcterms:modified>
</cp:coreProperties>
</file>